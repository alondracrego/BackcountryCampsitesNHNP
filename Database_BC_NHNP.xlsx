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mpsite data" sheetId="1" r:id="rId4"/>
    <sheet state="visible" name="campsites features points" sheetId="2" r:id="rId5"/>
    <sheet state="visible" name="vegetation impact" sheetId="3" r:id="rId6"/>
    <sheet state="visible" name="visitor survey" sheetId="4" r:id="rId7"/>
    <sheet state="visible" name="hike cost" sheetId="5" r:id="rId8"/>
    <sheet state="visible" name="itinerary" sheetId="6" r:id="rId9"/>
  </sheets>
  <definedNames/>
  <calcPr/>
  <extLst>
    <ext uri="GoogleSheetsCustomDataVersion2">
      <go:sheetsCustomData xmlns:go="http://customooxmlschemas.google.com/" r:id="rId10" roundtripDataChecksum="NT6U+GsAPUnNCu1q4sjq7cfYzxlAxBQSoqfnuz2GZLI="/>
    </ext>
  </extLst>
</workbook>
</file>

<file path=xl/sharedStrings.xml><?xml version="1.0" encoding="utf-8"?>
<sst xmlns="http://schemas.openxmlformats.org/spreadsheetml/2006/main" count="16679" uniqueCount="2117">
  <si>
    <t>id_camp</t>
  </si>
  <si>
    <t>n_puntos</t>
  </si>
  <si>
    <t>d_obs</t>
  </si>
  <si>
    <t>area_campo</t>
  </si>
  <si>
    <t>ambiente</t>
  </si>
  <si>
    <t>uso.x</t>
  </si>
  <si>
    <t>d_exp</t>
  </si>
  <si>
    <t>dist_med_carpas</t>
  </si>
  <si>
    <t>dist_med_fogones</t>
  </si>
  <si>
    <t>dist_med_banos</t>
  </si>
  <si>
    <t>dist_med_senda</t>
  </si>
  <si>
    <t>dist_med_agua</t>
  </si>
  <si>
    <t>nombre</t>
  </si>
  <si>
    <t>LSI</t>
  </si>
  <si>
    <t>elev_mean</t>
  </si>
  <si>
    <t>habilitado</t>
  </si>
  <si>
    <t>perimeter</t>
  </si>
  <si>
    <t>area</t>
  </si>
  <si>
    <t>per.area2</t>
  </si>
  <si>
    <t>bordesenda</t>
  </si>
  <si>
    <t>water_d</t>
  </si>
  <si>
    <t>num_usos</t>
  </si>
  <si>
    <t>uso_corregido</t>
  </si>
  <si>
    <t>intensidad</t>
  </si>
  <si>
    <t>nombre_clean</t>
  </si>
  <si>
    <t>tipo_campamento2</t>
  </si>
  <si>
    <t>slp_mean</t>
  </si>
  <si>
    <t>slp_stdev</t>
  </si>
  <si>
    <t>tri_mean</t>
  </si>
  <si>
    <t>tri_stdev</t>
  </si>
  <si>
    <t>zona_campamento</t>
  </si>
  <si>
    <t>mallin</t>
  </si>
  <si>
    <t>bajo</t>
  </si>
  <si>
    <t>NA</t>
  </si>
  <si>
    <t>baileywillis</t>
  </si>
  <si>
    <t>sinservicio</t>
  </si>
  <si>
    <t>bosque</t>
  </si>
  <si>
    <t>medio</t>
  </si>
  <si>
    <t>la chata</t>
  </si>
  <si>
    <t>id_2</t>
  </si>
  <si>
    <t>name_2</t>
  </si>
  <si>
    <t>sitio_2</t>
  </si>
  <si>
    <t>ambiente_micro</t>
  </si>
  <si>
    <t>geometry</t>
  </si>
  <si>
    <t>alto</t>
  </si>
  <si>
    <t>cab1</t>
  </si>
  <si>
    <t>nnd_camp</t>
  </si>
  <si>
    <t>nnd_fire</t>
  </si>
  <si>
    <t>nnd_trash</t>
  </si>
  <si>
    <t>laguna_cab</t>
  </si>
  <si>
    <t>nnd_bath</t>
  </si>
  <si>
    <t>dist_senda</t>
  </si>
  <si>
    <t>dist_agua</t>
  </si>
  <si>
    <t>ambiente_macro</t>
  </si>
  <si>
    <t>cab2</t>
  </si>
  <si>
    <t>camp</t>
  </si>
  <si>
    <t>chata</t>
  </si>
  <si>
    <t>Bosque</t>
  </si>
  <si>
    <t>c(1532750.352</t>
  </si>
  <si>
    <t xml:space="preserve"> 5445356.103)</t>
  </si>
  <si>
    <t>md1</t>
  </si>
  <si>
    <t>c(1532752.479</t>
  </si>
  <si>
    <t xml:space="preserve"> 5445343.766)</t>
  </si>
  <si>
    <t>c(1532765.76</t>
  </si>
  <si>
    <t xml:space="preserve"> 5445347.372)</t>
  </si>
  <si>
    <t>id</t>
  </si>
  <si>
    <t>c(1532767.958</t>
  </si>
  <si>
    <t>mallin_matedulce</t>
  </si>
  <si>
    <t xml:space="preserve"> 5445350.805)</t>
  </si>
  <si>
    <t>c(1532773.933</t>
  </si>
  <si>
    <t xml:space="preserve"> 5445353.888)</t>
  </si>
  <si>
    <t>mdblanco</t>
  </si>
  <si>
    <t>c(1531754.645</t>
  </si>
  <si>
    <t xml:space="preserve"> 5444513.758)</t>
  </si>
  <si>
    <t>firepits</t>
  </si>
  <si>
    <t>c(1531754.371</t>
  </si>
  <si>
    <t xml:space="preserve"> 5444524.169)</t>
  </si>
  <si>
    <t>md2</t>
  </si>
  <si>
    <t>Roca</t>
  </si>
  <si>
    <t>c(1531740.303</t>
  </si>
  <si>
    <t xml:space="preserve"> 5444488.941)</t>
  </si>
  <si>
    <t>creton</t>
  </si>
  <si>
    <t>c(1531708.555</t>
  </si>
  <si>
    <t xml:space="preserve"> 5444486.189)</t>
  </si>
  <si>
    <t>laguna_creton</t>
  </si>
  <si>
    <t>ele</t>
  </si>
  <si>
    <t>name</t>
  </si>
  <si>
    <t>xcoord</t>
  </si>
  <si>
    <t>creton2</t>
  </si>
  <si>
    <t>littertrash</t>
  </si>
  <si>
    <t>ycoord</t>
  </si>
  <si>
    <t>zcoord</t>
  </si>
  <si>
    <t>c(1531714.49</t>
  </si>
  <si>
    <t xml:space="preserve"> 5444494.885)</t>
  </si>
  <si>
    <t>sitio</t>
  </si>
  <si>
    <t>codigo</t>
  </si>
  <si>
    <t>fecha</t>
  </si>
  <si>
    <t>parcela</t>
  </si>
  <si>
    <t>MallÃ­n</t>
  </si>
  <si>
    <t>lugar</t>
  </si>
  <si>
    <t>c(1531695.568</t>
  </si>
  <si>
    <t>pisoteo</t>
  </si>
  <si>
    <t xml:space="preserve"> 5444494.202)</t>
  </si>
  <si>
    <t>sd</t>
  </si>
  <si>
    <t>roca</t>
  </si>
  <si>
    <t>hojarasca</t>
  </si>
  <si>
    <t>arbol</t>
  </si>
  <si>
    <t>arbusto</t>
  </si>
  <si>
    <t>subarbusto</t>
  </si>
  <si>
    <t>creton3</t>
  </si>
  <si>
    <t>herbgram</t>
  </si>
  <si>
    <t>herb</t>
  </si>
  <si>
    <t>c(1531694.812</t>
  </si>
  <si>
    <t>musgoliquen</t>
  </si>
  <si>
    <t xml:space="preserve"> 5444504.22)</t>
  </si>
  <si>
    <t>porcentaje</t>
  </si>
  <si>
    <t>sinevidencia</t>
  </si>
  <si>
    <t>raicesexp</t>
  </si>
  <si>
    <t>plantasquebradas</t>
  </si>
  <si>
    <t>sendas</t>
  </si>
  <si>
    <t>carbon</t>
  </si>
  <si>
    <t>acampe</t>
  </si>
  <si>
    <t>baÃ±o</t>
  </si>
  <si>
    <t>codigo_gps</t>
  </si>
  <si>
    <t>distancia</t>
  </si>
  <si>
    <t>jujuy</t>
  </si>
  <si>
    <t>cobertura_basal</t>
  </si>
  <si>
    <t>pct_danio</t>
  </si>
  <si>
    <t>dist_senda_real</t>
  </si>
  <si>
    <t>dist_uso_cercano</t>
  </si>
  <si>
    <t>tipo_uso_cercano</t>
  </si>
  <si>
    <t>c(1531674.558</t>
  </si>
  <si>
    <t xml:space="preserve"> 5444500.094)</t>
  </si>
  <si>
    <t>prop_cobertura</t>
  </si>
  <si>
    <t>prop_danio</t>
  </si>
  <si>
    <t>ricardo</t>
  </si>
  <si>
    <t>prop_sd</t>
  </si>
  <si>
    <t>pisoteo_ord</t>
  </si>
  <si>
    <t>bw</t>
  </si>
  <si>
    <t>1_baileywillis</t>
  </si>
  <si>
    <t>c(1531671.241</t>
  </si>
  <si>
    <t xml:space="preserve"> 5444509.995)</t>
  </si>
  <si>
    <t>ilon1</t>
  </si>
  <si>
    <t>c(1533944.605</t>
  </si>
  <si>
    <t xml:space="preserve"> 5446351.856)</t>
  </si>
  <si>
    <t>c(1531661.145</t>
  </si>
  <si>
    <t xml:space="preserve"> 5444512.186)</t>
  </si>
  <si>
    <t>2_baileywillis</t>
  </si>
  <si>
    <t>c(1531655.369</t>
  </si>
  <si>
    <t xml:space="preserve"> 5444520.924)</t>
  </si>
  <si>
    <t>c(1533947.497</t>
  </si>
  <si>
    <t xml:space="preserve"> 5446341.736)</t>
  </si>
  <si>
    <t>3_baileywillis</t>
  </si>
  <si>
    <t>conservicio</t>
  </si>
  <si>
    <t>laguna_ilon</t>
  </si>
  <si>
    <t>c(1531644.838</t>
  </si>
  <si>
    <t xml:space="preserve"> 5444523.76)</t>
  </si>
  <si>
    <t>c(1533949.968</t>
  </si>
  <si>
    <t xml:space="preserve"> 5446331.396)</t>
  </si>
  <si>
    <t>ilon2</t>
  </si>
  <si>
    <t>4_baileywillis</t>
  </si>
  <si>
    <t>c(1533954.376</t>
  </si>
  <si>
    <t xml:space="preserve"> 5446322.38)</t>
  </si>
  <si>
    <t>ilon3</t>
  </si>
  <si>
    <t>5_baileywillis</t>
  </si>
  <si>
    <t>manolo</t>
  </si>
  <si>
    <t>c(1533956.182</t>
  </si>
  <si>
    <t xml:space="preserve"> 5446313.487)</t>
  </si>
  <si>
    <t>6_baileywillis</t>
  </si>
  <si>
    <t>muy_alto</t>
  </si>
  <si>
    <t>lagunanegra</t>
  </si>
  <si>
    <t>c(1531631.462</t>
  </si>
  <si>
    <t>c(1533957.476</t>
  </si>
  <si>
    <t xml:space="preserve"> 5444554.014)</t>
  </si>
  <si>
    <t xml:space="preserve"> 5446302.819)</t>
  </si>
  <si>
    <t>c(1531601.105</t>
  </si>
  <si>
    <t xml:space="preserve"> 5444546.736)</t>
  </si>
  <si>
    <t>7_baileywillis</t>
  </si>
  <si>
    <t>azul</t>
  </si>
  <si>
    <t>bath</t>
  </si>
  <si>
    <t>c(1531618.74</t>
  </si>
  <si>
    <t xml:space="preserve"> 5444493.729)</t>
  </si>
  <si>
    <t>c(1533961.458</t>
  </si>
  <si>
    <t xml:space="preserve"> 5446292.361)</t>
  </si>
  <si>
    <t>c(1531636.313</t>
  </si>
  <si>
    <t>navidadp</t>
  </si>
  <si>
    <t xml:space="preserve"> 5444469.432)</t>
  </si>
  <si>
    <t>8_baileywillis</t>
  </si>
  <si>
    <t>c(1531643.194</t>
  </si>
  <si>
    <t>valle_navidad</t>
  </si>
  <si>
    <t xml:space="preserve"> 5444461.828)</t>
  </si>
  <si>
    <t>c(1533967.19</t>
  </si>
  <si>
    <t>rucaco 1</t>
  </si>
  <si>
    <t xml:space="preserve"> 5446279.229)</t>
  </si>
  <si>
    <t>valle_rucaco</t>
  </si>
  <si>
    <t>9_baileywillis</t>
  </si>
  <si>
    <t>c(1531665.085</t>
  </si>
  <si>
    <t xml:space="preserve"> 5444462.527)</t>
  </si>
  <si>
    <t>tamaÃ±ogrupo</t>
  </si>
  <si>
    <t>rucaco 2</t>
  </si>
  <si>
    <t>actividad</t>
  </si>
  <si>
    <t>c(1533964.541</t>
  </si>
  <si>
    <t xml:space="preserve"> 5446269.246)</t>
  </si>
  <si>
    <t>conguia</t>
  </si>
  <si>
    <t>tipodegrupo</t>
  </si>
  <si>
    <t>c(1531693.352</t>
  </si>
  <si>
    <t>frecuencia_visita2</t>
  </si>
  <si>
    <t xml:space="preserve"> 5444446.975)</t>
  </si>
  <si>
    <t>10_baileywillis</t>
  </si>
  <si>
    <t>frecuenciatravesia_grupal</t>
  </si>
  <si>
    <t>dificultadgrupal</t>
  </si>
  <si>
    <t>procedencia_ciudad</t>
  </si>
  <si>
    <t>procedencia_provincia</t>
  </si>
  <si>
    <t>c(1533958.282</t>
  </si>
  <si>
    <t>rucaco 3</t>
  </si>
  <si>
    <t xml:space="preserve"> 5446259.502)</t>
  </si>
  <si>
    <t>procedencia_pais</t>
  </si>
  <si>
    <t>procedencia_class</t>
  </si>
  <si>
    <t>genero_encuestado</t>
  </si>
  <si>
    <t>11_baileywillis</t>
  </si>
  <si>
    <t>edad_encuestado</t>
  </si>
  <si>
    <t>educacion_encuestado</t>
  </si>
  <si>
    <t>desdecuando_encuestado</t>
  </si>
  <si>
    <t>rucaco 4</t>
  </si>
  <si>
    <t>frecuencia_visita_encuestado</t>
  </si>
  <si>
    <t>frecuenciatravesia_encuestado</t>
  </si>
  <si>
    <t>a_picnic</t>
  </si>
  <si>
    <t>c(1531677.711</t>
  </si>
  <si>
    <t>c(1533952.708</t>
  </si>
  <si>
    <t xml:space="preserve"> 5444457.792)</t>
  </si>
  <si>
    <t xml:space="preserve"> 5446252.531)</t>
  </si>
  <si>
    <t>a_caminatasdemediodia</t>
  </si>
  <si>
    <t>a_trekkingconpernocte</t>
  </si>
  <si>
    <t>c(1531658.603</t>
  </si>
  <si>
    <t xml:space="preserve"> 5444463.305)</t>
  </si>
  <si>
    <t>a_travesÃ­asdemontaÃ±a</t>
  </si>
  <si>
    <t>12_baileywillis</t>
  </si>
  <si>
    <t>a_trailrunning</t>
  </si>
  <si>
    <t>a_escalada</t>
  </si>
  <si>
    <t>a_deportesinvernales</t>
  </si>
  <si>
    <t>c(1531668.796</t>
  </si>
  <si>
    <t>a_deportesacuaticos</t>
  </si>
  <si>
    <t xml:space="preserve"> 5444462.319)</t>
  </si>
  <si>
    <t>c(1533949.198</t>
  </si>
  <si>
    <t xml:space="preserve"> 5446237.999)</t>
  </si>
  <si>
    <t>campanile 1</t>
  </si>
  <si>
    <t>valle_campanile</t>
  </si>
  <si>
    <t>13_baileywillis</t>
  </si>
  <si>
    <t>c(1531055.253</t>
  </si>
  <si>
    <t xml:space="preserve"> 5444201.993)</t>
  </si>
  <si>
    <t>c(1533941.848</t>
  </si>
  <si>
    <t xml:space="preserve"> 5446228.26)</t>
  </si>
  <si>
    <t>difusion_travesia</t>
  </si>
  <si>
    <t>campanile 2</t>
  </si>
  <si>
    <t>aplicacion</t>
  </si>
  <si>
    <t>motivo1</t>
  </si>
  <si>
    <t>motivo2</t>
  </si>
  <si>
    <t>motivo3</t>
  </si>
  <si>
    <t>motivo4</t>
  </si>
  <si>
    <t>motivo5</t>
  </si>
  <si>
    <t>motivo6</t>
  </si>
  <si>
    <t>motivo7</t>
  </si>
  <si>
    <t>llum 1</t>
  </si>
  <si>
    <t>motivo8</t>
  </si>
  <si>
    <t>motivo9</t>
  </si>
  <si>
    <t>af_friends</t>
  </si>
  <si>
    <t>14_baileywillis</t>
  </si>
  <si>
    <t>af_crowding</t>
  </si>
  <si>
    <t>af_goodsites</t>
  </si>
  <si>
    <t>af_informaltrails</t>
  </si>
  <si>
    <t>af_trampling</t>
  </si>
  <si>
    <t>laguna_llum</t>
  </si>
  <si>
    <t>af_safewater</t>
  </si>
  <si>
    <t>af_firepits</t>
  </si>
  <si>
    <t>af_trash</t>
  </si>
  <si>
    <t>af_informalbaths</t>
  </si>
  <si>
    <t>llum 2</t>
  </si>
  <si>
    <t>action_campsite</t>
  </si>
  <si>
    <t>c(1533949.377</t>
  </si>
  <si>
    <t>action_hut</t>
  </si>
  <si>
    <t xml:space="preserve"> 5446222.228)</t>
  </si>
  <si>
    <t>action_formalbaths</t>
  </si>
  <si>
    <t>action_formaltrail</t>
  </si>
  <si>
    <t>15_baileywillis</t>
  </si>
  <si>
    <t>action_trashrecolection</t>
  </si>
  <si>
    <t>action_signal</t>
  </si>
  <si>
    <t>jakob</t>
  </si>
  <si>
    <t>action_cuposvisit</t>
  </si>
  <si>
    <t>action_nofire</t>
  </si>
  <si>
    <t>action_comunication</t>
  </si>
  <si>
    <t>action_information</t>
  </si>
  <si>
    <t>practice_object</t>
  </si>
  <si>
    <t>c(1533954.737</t>
  </si>
  <si>
    <t xml:space="preserve"> 5446219.315)</t>
  </si>
  <si>
    <t>practice_noise</t>
  </si>
  <si>
    <t>practice_formaltrail</t>
  </si>
  <si>
    <t>practice_calentador</t>
  </si>
  <si>
    <t>practice_food</t>
  </si>
  <si>
    <t>1_chata</t>
  </si>
  <si>
    <t>practice_toiletpaper</t>
  </si>
  <si>
    <t>frey</t>
  </si>
  <si>
    <t>practice_meteorology</t>
  </si>
  <si>
    <t>practice_notrash</t>
  </si>
  <si>
    <t>practice_wildlifefood</t>
  </si>
  <si>
    <t>c(1532766.078</t>
  </si>
  <si>
    <t>practice_campwetland</t>
  </si>
  <si>
    <t xml:space="preserve"> 5445343.483)</t>
  </si>
  <si>
    <t>practice_bathfarwater</t>
  </si>
  <si>
    <t>practice_cleanfarwater</t>
  </si>
  <si>
    <t>conocimiento1</t>
  </si>
  <si>
    <t>conocimiento2</t>
  </si>
  <si>
    <t>2_chata</t>
  </si>
  <si>
    <t>conocimiento3</t>
  </si>
  <si>
    <t>conocimiento4</t>
  </si>
  <si>
    <t>goye</t>
  </si>
  <si>
    <t>conocimiento5</t>
  </si>
  <si>
    <t>c(1531058.69</t>
  </si>
  <si>
    <t>c(1532749.702</t>
  </si>
  <si>
    <t xml:space="preserve"> 5444171.869)</t>
  </si>
  <si>
    <t xml:space="preserve"> 5445342.224)</t>
  </si>
  <si>
    <t>conocimiento6</t>
  </si>
  <si>
    <t>conocimiento7</t>
  </si>
  <si>
    <t>conocimiento8</t>
  </si>
  <si>
    <t>conocimiento9</t>
  </si>
  <si>
    <t>conocimiento10</t>
  </si>
  <si>
    <t>conocimiento11</t>
  </si>
  <si>
    <t>conocimiento12</t>
  </si>
  <si>
    <t>3_chata</t>
  </si>
  <si>
    <t>vivencia</t>
  </si>
  <si>
    <t>navidad2</t>
  </si>
  <si>
    <t>permanenciatravesia</t>
  </si>
  <si>
    <t>acampe_dia1</t>
  </si>
  <si>
    <t>c(1532765.818</t>
  </si>
  <si>
    <t xml:space="preserve"> 5445341.596)</t>
  </si>
  <si>
    <t>acampe_dia2</t>
  </si>
  <si>
    <t>acampe_dia3</t>
  </si>
  <si>
    <t>acampe_dia4</t>
  </si>
  <si>
    <t>acampe_dia5</t>
  </si>
  <si>
    <t>acampe_dia6</t>
  </si>
  <si>
    <t>4_chata</t>
  </si>
  <si>
    <t>ciudad_limpia</t>
  </si>
  <si>
    <t>procedencia</t>
  </si>
  <si>
    <t>f_inicio</t>
  </si>
  <si>
    <t>f_final</t>
  </si>
  <si>
    <t>duracion_dias</t>
  </si>
  <si>
    <t>c(1532776.924</t>
  </si>
  <si>
    <t xml:space="preserve"> 5445346.988)</t>
  </si>
  <si>
    <t>tipo_visitante</t>
  </si>
  <si>
    <t>as.factor(edad_encuestado)</t>
  </si>
  <si>
    <t>c(1531033.021</t>
  </si>
  <si>
    <t>as.factor(educacion_encuestado)</t>
  </si>
  <si>
    <t xml:space="preserve"> 5444161.639)</t>
  </si>
  <si>
    <t>as.factor(tipo_visitante)</t>
  </si>
  <si>
    <t>5_chata</t>
  </si>
  <si>
    <t>as.factor(genero_encuestado)</t>
  </si>
  <si>
    <t>as.factor(desdecuando_encuestado)</t>
  </si>
  <si>
    <t>c(1532781.862</t>
  </si>
  <si>
    <t xml:space="preserve"> 5445343.412)</t>
  </si>
  <si>
    <t>Trekking / senderismo/ montaÃ±ismo</t>
  </si>
  <si>
    <t>No</t>
  </si>
  <si>
    <t>Mixto</t>
  </si>
  <si>
    <t>Una vez por aÃ±o</t>
  </si>
  <si>
    <t>Dificil</t>
  </si>
  <si>
    <t xml:space="preserve">bariloche </t>
  </si>
  <si>
    <t>6_chata</t>
  </si>
  <si>
    <t>rionegro</t>
  </si>
  <si>
    <t>argentina</t>
  </si>
  <si>
    <t>local</t>
  </si>
  <si>
    <t>Masculino</t>
  </si>
  <si>
    <t>35-44</t>
  </si>
  <si>
    <t>Terciario/tÃ©cnico</t>
  </si>
  <si>
    <t>c(1532786.129</t>
  </si>
  <si>
    <t>Desde siempre</t>
  </si>
  <si>
    <t xml:space="preserve"> 5445340.284)</t>
  </si>
  <si>
    <t>c(1531029.904</t>
  </si>
  <si>
    <t xml:space="preserve"> 5444171.232)</t>
  </si>
  <si>
    <t>Siempre</t>
  </si>
  <si>
    <t>7_chata</t>
  </si>
  <si>
    <t>Ocasionalmente</t>
  </si>
  <si>
    <t>c(1532790.487</t>
  </si>
  <si>
    <t>c(1531030.632</t>
  </si>
  <si>
    <t xml:space="preserve"> 5445338.487)</t>
  </si>
  <si>
    <t>Amigos/Familia</t>
  </si>
  <si>
    <t xml:space="preserve"> 5444144.599)</t>
  </si>
  <si>
    <t xml:space="preserve">Garmin </t>
  </si>
  <si>
    <t>Mejorar y/o mantener la salud fÃ­sica y mental</t>
  </si>
  <si>
    <t xml:space="preserve"> Realizar actividades deportivas</t>
  </si>
  <si>
    <t xml:space="preserve"> Disfrutar del paisaje</t>
  </si>
  <si>
    <t xml:space="preserve"> DesafÃ­o y aventura</t>
  </si>
  <si>
    <t>Bosques de lenga</t>
  </si>
  <si>
    <t>MontaÃ±as</t>
  </si>
  <si>
    <t>Glaciares</t>
  </si>
  <si>
    <t>Lagunas</t>
  </si>
  <si>
    <t>Mallines</t>
  </si>
  <si>
    <t>Humedales</t>
  </si>
  <si>
    <t>VegetaciÃ³n altoandina</t>
  </si>
  <si>
    <t>Nieve</t>
  </si>
  <si>
    <t>Subir el filo despuÃ©s de laguna negra y encontrarse con el tronador y la laguna cab a lo lejos es siempre de los momentos mÃ¡s hermosos de mi vida 
Nuestro hijo ama la travesÃ­a y solo tiene 2 aÃ±os â_x009d_¤ï¸_x008f_
En este caso no seguimos camino pero la bajada al mallÃ³n de mate dulce y a laguna creton tiene que estar un poco mejor las marcas.</t>
  </si>
  <si>
    <t>8_chata</t>
  </si>
  <si>
    <t>c(1532796.845</t>
  </si>
  <si>
    <t xml:space="preserve"> 5445333.461)</t>
  </si>
  <si>
    <t>c(1531024.808</t>
  </si>
  <si>
    <t xml:space="preserve"> 5444136.122)</t>
  </si>
  <si>
    <t>9_chata</t>
  </si>
  <si>
    <t>c(1531017.259</t>
  </si>
  <si>
    <t>c(1532795.66</t>
  </si>
  <si>
    <t xml:space="preserve"> 5444129.502)</t>
  </si>
  <si>
    <t xml:space="preserve"> 5445331.356)</t>
  </si>
  <si>
    <t>c(1531007.236</t>
  </si>
  <si>
    <t xml:space="preserve"> 5444128.026)</t>
  </si>
  <si>
    <t>10_chata</t>
  </si>
  <si>
    <t>c(1532800.088</t>
  </si>
  <si>
    <t xml:space="preserve"> 5445326.561)</t>
  </si>
  <si>
    <t>c(1530997.776</t>
  </si>
  <si>
    <t xml:space="preserve"> 5444124.54)</t>
  </si>
  <si>
    <t>1_cab1</t>
  </si>
  <si>
    <t>c(1530994.578</t>
  </si>
  <si>
    <t xml:space="preserve"> 5444115.032)</t>
  </si>
  <si>
    <t>c(1531705.896</t>
  </si>
  <si>
    <t xml:space="preserve"> 5444450.244)</t>
  </si>
  <si>
    <t>c(1530984.272</t>
  </si>
  <si>
    <t xml:space="preserve"> 5444112.113)</t>
  </si>
  <si>
    <t>2_cab1</t>
  </si>
  <si>
    <t>c(1530978.062</t>
  </si>
  <si>
    <t xml:space="preserve"> 5444120.067)</t>
  </si>
  <si>
    <t>bariloche</t>
  </si>
  <si>
    <t>c(1531701.962</t>
  </si>
  <si>
    <t xml:space="preserve"> 5444452.816)</t>
  </si>
  <si>
    <t>3_cab1</t>
  </si>
  <si>
    <t>c(1530968.682</t>
  </si>
  <si>
    <t xml:space="preserve"> 5444125.457)</t>
  </si>
  <si>
    <t>c(1531695.358</t>
  </si>
  <si>
    <t xml:space="preserve"> 5444459.175)</t>
  </si>
  <si>
    <t>4_cab1</t>
  </si>
  <si>
    <t>repite</t>
  </si>
  <si>
    <t>c(1531686.283</t>
  </si>
  <si>
    <t xml:space="preserve"> 5444457.104)</t>
  </si>
  <si>
    <t>Es la primera vez para todos</t>
  </si>
  <si>
    <t>neuquen</t>
  </si>
  <si>
    <t>5_cab1</t>
  </si>
  <si>
    <t>regional</t>
  </si>
  <si>
    <t>25-34</t>
  </si>
  <si>
    <t>Universitario</t>
  </si>
  <si>
    <t>MÃ¡s de una vez por aÃ±o</t>
  </si>
  <si>
    <t>Nunca</t>
  </si>
  <si>
    <t>c(1531677.39</t>
  </si>
  <si>
    <t xml:space="preserve"> 5444458.142)</t>
  </si>
  <si>
    <t>Otro</t>
  </si>
  <si>
    <t>c(1530961.452</t>
  </si>
  <si>
    <t xml:space="preserve"> 5444132.487)</t>
  </si>
  <si>
    <t>Relajarse y descansar</t>
  </si>
  <si>
    <t xml:space="preserve"> Aprender de la naturaleza</t>
  </si>
  <si>
    <t xml:space="preserve"> Mejorar y/o mantener la salud fÃ­sica y mental</t>
  </si>
  <si>
    <t>6_cab1</t>
  </si>
  <si>
    <t xml:space="preserve"> Pasar tiempo con amigos y familia</t>
  </si>
  <si>
    <t xml:space="preserve"> Conocer lugares nuevos</t>
  </si>
  <si>
    <t>c(1530951.797</t>
  </si>
  <si>
    <t xml:space="preserve"> 5444129.26)</t>
  </si>
  <si>
    <t>c(1531675.059</t>
  </si>
  <si>
    <t>c(1530943.774</t>
  </si>
  <si>
    <t xml:space="preserve"> 5444462.706)</t>
  </si>
  <si>
    <t xml:space="preserve"> 5444136.671)</t>
  </si>
  <si>
    <t>7_cab1</t>
  </si>
  <si>
    <t>La experiencia fue impresionante, disfrutamos mucho la caminata, los lugares nos volaron la cabeza. La parte mÃ¡s complicada donde nos vimos realmente desafiados fue el trayecto desde Laguna CAB hasta los Pozones de Creton, donde habÃ­a mucha nieve acumulada sin huella y no se veÃ­an muy bien las seÃ±ales. Fue clave contar con el track y experiencia caminando en nieve.</t>
  </si>
  <si>
    <t>c(1530943.445</t>
  </si>
  <si>
    <t xml:space="preserve"> 5444147.449)</t>
  </si>
  <si>
    <t>no-local</t>
  </si>
  <si>
    <t>c(1530944.218</t>
  </si>
  <si>
    <t xml:space="preserve"> 5444157.59)</t>
  </si>
  <si>
    <t>c(1531660.452</t>
  </si>
  <si>
    <t xml:space="preserve"> 5444462.547)</t>
  </si>
  <si>
    <t>c(1530921.137</t>
  </si>
  <si>
    <t xml:space="preserve"> 5444197.931)</t>
  </si>
  <si>
    <t>Solo hombres</t>
  </si>
  <si>
    <t>Facil</t>
  </si>
  <si>
    <t>8_cab1</t>
  </si>
  <si>
    <t>c(1530928.007</t>
  </si>
  <si>
    <t xml:space="preserve"> 5444150.33)</t>
  </si>
  <si>
    <t>55-64</t>
  </si>
  <si>
    <t>Secundario</t>
  </si>
  <si>
    <t>Es la primera vez</t>
  </si>
  <si>
    <t>c(1530938.313</t>
  </si>
  <si>
    <t>c(1531652.738</t>
  </si>
  <si>
    <t xml:space="preserve"> 5444122.19)</t>
  </si>
  <si>
    <t xml:space="preserve"> 5444464.468)</t>
  </si>
  <si>
    <t>md</t>
  </si>
  <si>
    <t>c(1529594.156</t>
  </si>
  <si>
    <t xml:space="preserve"> 5442043.844)</t>
  </si>
  <si>
    <t>c(1529593.565</t>
  </si>
  <si>
    <t xml:space="preserve"> 5442054.246)</t>
  </si>
  <si>
    <t>Wikiloc</t>
  </si>
  <si>
    <t>9_cab1</t>
  </si>
  <si>
    <t>c(1529540.872</t>
  </si>
  <si>
    <t xml:space="preserve"> 5442064.138)</t>
  </si>
  <si>
    <t>c(1531643.505</t>
  </si>
  <si>
    <t xml:space="preserve"> 5444464.73)</t>
  </si>
  <si>
    <t>10_cab1</t>
  </si>
  <si>
    <t>c(1529531.691</t>
  </si>
  <si>
    <t xml:space="preserve"> 5442060.076)</t>
  </si>
  <si>
    <t>c(1531636.564</t>
  </si>
  <si>
    <t xml:space="preserve"> 5444470.869)</t>
  </si>
  <si>
    <t>c(1529612.214</t>
  </si>
  <si>
    <t xml:space="preserve"> 5441756.836)</t>
  </si>
  <si>
    <t>11_cab1</t>
  </si>
  <si>
    <t>c(1529564.042</t>
  </si>
  <si>
    <t xml:space="preserve"> 5441753.402)</t>
  </si>
  <si>
    <t>c(1529555.723</t>
  </si>
  <si>
    <t xml:space="preserve"> 5441747.684)</t>
  </si>
  <si>
    <t>c(1531630.972</t>
  </si>
  <si>
    <t xml:space="preserve"> 5444478.334)</t>
  </si>
  <si>
    <t>c(1529543.831</t>
  </si>
  <si>
    <t xml:space="preserve"> 5441772.444)</t>
  </si>
  <si>
    <t>12_cab1</t>
  </si>
  <si>
    <t>c(1529549.33</t>
  </si>
  <si>
    <t xml:space="preserve"> 5441789.73)</t>
  </si>
  <si>
    <t>c(1531624.774</t>
  </si>
  <si>
    <t xml:space="preserve"> 5444481.47)</t>
  </si>
  <si>
    <t>13_cab1</t>
  </si>
  <si>
    <t>c(1529540.52</t>
  </si>
  <si>
    <t>Vegas</t>
  </si>
  <si>
    <t xml:space="preserve"> 5441794.665)</t>
  </si>
  <si>
    <t>El tramo entre las lagunas CAB y CretÃ³n, que era la parte que no conocÃ­a, me pareciÃ³ excelente. Fuimos directo a la CAB desde Colonia Suiza porque en el Refugio Italia el dÃ­a anterior no nos quisieron tomar una reserva, pero cuando pasamos por ahi sobraba lugar para acampar, lo que me llamÃ³ la atenciÃ³n.</t>
  </si>
  <si>
    <t>c(1531618.76</t>
  </si>
  <si>
    <t xml:space="preserve"> 5444488.271)</t>
  </si>
  <si>
    <t>c(1529530.228</t>
  </si>
  <si>
    <t xml:space="preserve"> 5441796.913)</t>
  </si>
  <si>
    <t>14_cab1</t>
  </si>
  <si>
    <t>c(1529521.148</t>
  </si>
  <si>
    <t xml:space="preserve"> 5441801.283)</t>
  </si>
  <si>
    <t>nuevo</t>
  </si>
  <si>
    <t>c(1531610.359</t>
  </si>
  <si>
    <t xml:space="preserve"> 5444486.753)</t>
  </si>
  <si>
    <t>c(1529527.888</t>
  </si>
  <si>
    <t xml:space="preserve"> 5441773.065)</t>
  </si>
  <si>
    <t>15_cab1</t>
  </si>
  <si>
    <t>c(1531600.297</t>
  </si>
  <si>
    <t xml:space="preserve"> 5444489.35)</t>
  </si>
  <si>
    <t>c(1529508.867</t>
  </si>
  <si>
    <t xml:space="preserve"> 5441780.879)</t>
  </si>
  <si>
    <t>Algunos lo realizan con frecuencia y otros es la primera vez</t>
  </si>
  <si>
    <t>Moderada</t>
  </si>
  <si>
    <t>16_cab1</t>
  </si>
  <si>
    <t>c(1529496.862</t>
  </si>
  <si>
    <t xml:space="preserve"> 5441796.79)</t>
  </si>
  <si>
    <t>c(1531592.83</t>
  </si>
  <si>
    <t xml:space="preserve"> 5444490.382)</t>
  </si>
  <si>
    <t>c(1529595.9236895</t>
  </si>
  <si>
    <t xml:space="preserve"> 5441763.79793692)</t>
  </si>
  <si>
    <t>17_cab1</t>
  </si>
  <si>
    <t>c(1529688.94566559</t>
  </si>
  <si>
    <t xml:space="preserve"> 5441812.16624257)</t>
  </si>
  <si>
    <t>Maps me</t>
  </si>
  <si>
    <t>Aprender de la naturaleza</t>
  </si>
  <si>
    <t>c(1531587.135</t>
  </si>
  <si>
    <t xml:space="preserve"> 5444493.405)</t>
  </si>
  <si>
    <t>c(1529609.1526443</t>
  </si>
  <si>
    <t xml:space="preserve"> 5441777.29355844)</t>
  </si>
  <si>
    <t>18_cab1</t>
  </si>
  <si>
    <t>c(1529608.33784945</t>
  </si>
  <si>
    <t>c(1531586.299</t>
  </si>
  <si>
    <t xml:space="preserve"> 5441783.29407103)</t>
  </si>
  <si>
    <t xml:space="preserve"> 5444494.298)</t>
  </si>
  <si>
    <t>c(1529688.74022428</t>
  </si>
  <si>
    <t xml:space="preserve"> 5441814.01674934)</t>
  </si>
  <si>
    <t>1_cab2</t>
  </si>
  <si>
    <t>c(1529630.11888701</t>
  </si>
  <si>
    <t xml:space="preserve"> 5441733.00686215)</t>
  </si>
  <si>
    <t>c(1531042.483</t>
  </si>
  <si>
    <t>Roquedales</t>
  </si>
  <si>
    <t xml:space="preserve"> 5444151.9)</t>
  </si>
  <si>
    <t>c(1529614.4816555</t>
  </si>
  <si>
    <t xml:space="preserve"> 5441746.39742794)</t>
  </si>
  <si>
    <t>2_cab2</t>
  </si>
  <si>
    <t>Matorrales</t>
  </si>
  <si>
    <t>c(1529605.7210072</t>
  </si>
  <si>
    <t xml:space="preserve"> 5441758.7605481)</t>
  </si>
  <si>
    <t>c(1531038.638</t>
  </si>
  <si>
    <t xml:space="preserve"> 5444155.803)</t>
  </si>
  <si>
    <t>ComencÃ© un dÃ­a mas tarde del resto del grupo, que acampÃ³ en Laguna Negra el dÃ­a anterior, asÃ­ que saliendo caminando de mi casa en el barrio lago moreno, caminÃ© 6 km hasta colonia suiza y los alcancÃ© en la cima del Bailey Willis antes del mediodÃ­a, para su sorpresa que no podÃ­a creer que ya estuviera ahi. DespuÃ©s seguimos hasta la laguna CAB, de manera que ese primer tramo hice mas de 25km.
La bajada del cerro Cristales es extremadamente tÃ©cnica y dificultosa, asÃ­ que fue un buen desafÃ­o.
Y las vistas desde el balcÃ³n de la laguna azul y la punta del cerro capitÃ¡n son las mÃ¡s hermosas del trayecto, asÃ­ que ese Ãºltimo tramo de la travesÃ­a fue el que mÃ¡s disfrutÃ©</t>
  </si>
  <si>
    <t>3_cab2</t>
  </si>
  <si>
    <t>c(1529554.93245179</t>
  </si>
  <si>
    <t xml:space="preserve"> 5441753.41331259)</t>
  </si>
  <si>
    <t>c(1531033.374</t>
  </si>
  <si>
    <t xml:space="preserve"> 5444161.49)</t>
  </si>
  <si>
    <t>c(1529537.90898376</t>
  </si>
  <si>
    <t xml:space="preserve"> 5441776.80467005)</t>
  </si>
  <si>
    <t>4_cab2</t>
  </si>
  <si>
    <t>c(1529600.79422083</t>
  </si>
  <si>
    <t>c(1531033.627</t>
  </si>
  <si>
    <t xml:space="preserve"> 5441806.09183474)</t>
  </si>
  <si>
    <t xml:space="preserve"> 5444161.6)</t>
  </si>
  <si>
    <t>5_cab2</t>
  </si>
  <si>
    <t>c(1529596.86272616</t>
  </si>
  <si>
    <t xml:space="preserve"> 5441788.44932271)</t>
  </si>
  <si>
    <t>c(1531032.637</t>
  </si>
  <si>
    <t xml:space="preserve"> 5444165.824)</t>
  </si>
  <si>
    <t>c(1529692.94215344</t>
  </si>
  <si>
    <t xml:space="preserve"> 5441810.86530248)</t>
  </si>
  <si>
    <t>turdera</t>
  </si>
  <si>
    <t>buenosaires</t>
  </si>
  <si>
    <t>6_cab2</t>
  </si>
  <si>
    <t>c(1529651.25936069</t>
  </si>
  <si>
    <t xml:space="preserve"> 5441752.35645163)</t>
  </si>
  <si>
    <t>c(1531027.272</t>
  </si>
  <si>
    <t xml:space="preserve"> 5444167.513)</t>
  </si>
  <si>
    <t>c(1529627.62319818</t>
  </si>
  <si>
    <t>Cada tanto</t>
  </si>
  <si>
    <t xml:space="preserve"> 5441738.34784123)</t>
  </si>
  <si>
    <t>Esta travesia es la quinta vez</t>
  </si>
  <si>
    <t>7_cab2</t>
  </si>
  <si>
    <t>c(1529613.98404613</t>
  </si>
  <si>
    <t xml:space="preserve"> 5441747.84321858)</t>
  </si>
  <si>
    <t>c(1529606.72433552</t>
  </si>
  <si>
    <t>c(1531024.701</t>
  </si>
  <si>
    <t xml:space="preserve"> 5441757.86800482)</t>
  </si>
  <si>
    <t xml:space="preserve"> 5444174.743)</t>
  </si>
  <si>
    <t>c(1529551.66037951</t>
  </si>
  <si>
    <t xml:space="preserve"> 5441753.53761451)</t>
  </si>
  <si>
    <t>8_cab2</t>
  </si>
  <si>
    <t>creton1</t>
  </si>
  <si>
    <t>c(1527367.379</t>
  </si>
  <si>
    <t xml:space="preserve"> 5440077.394)</t>
  </si>
  <si>
    <t>c(1531014.798</t>
  </si>
  <si>
    <t xml:space="preserve"> 5444175.229)</t>
  </si>
  <si>
    <t>c(1527385.225</t>
  </si>
  <si>
    <t xml:space="preserve"> 5440086.926)</t>
  </si>
  <si>
    <t>9_cab2</t>
  </si>
  <si>
    <t>c(1527384.827</t>
  </si>
  <si>
    <t xml:space="preserve"> 5440091.852)</t>
  </si>
  <si>
    <t>c(1531020.274</t>
  </si>
  <si>
    <t xml:space="preserve"> 5444179.981)</t>
  </si>
  <si>
    <t>c(1527374.75</t>
  </si>
  <si>
    <t xml:space="preserve"> 5440090.65)</t>
  </si>
  <si>
    <t xml:space="preserve">Es la quinta vez que la realizo.  La primera vez hace mÃ¡s de 30 aÃ±os 
Desde ese entonces donde no existÃ­an marcas ni pircas despuÃ©s de Laguna CAB hoy encontrÃ© senderos bien seÃ±alizados y picadas nuevas , por ejemplo la subida al Cerro CAB . La subida al Cristales y la bajada de la Laguna Ilon que ya no es por el mallin 
Me gusto todo pero poder haberlo hecho con mi familia fue lo mejor.
para los integrantes del grupo unos de los momentos Ã©picos fue cruzar los Neves 
TambiÃ©n llegar a cada uno de los filos 
Disfrutamos de una sambullida en la Laguna Creton </t>
  </si>
  <si>
    <t>10_cab2</t>
  </si>
  <si>
    <t>c(1531017.439</t>
  </si>
  <si>
    <t xml:space="preserve"> 5444184.324)</t>
  </si>
  <si>
    <t>c(1527368.313</t>
  </si>
  <si>
    <t xml:space="preserve"> 5440087.041)</t>
  </si>
  <si>
    <t>SÃ­</t>
  </si>
  <si>
    <t>Guia</t>
  </si>
  <si>
    <t>11_cab2</t>
  </si>
  <si>
    <t xml:space="preserve">Soy guia, depende el aÃ±o </t>
  </si>
  <si>
    <t>c(1527363.808</t>
  </si>
  <si>
    <t xml:space="preserve"> 5440089.841)</t>
  </si>
  <si>
    <t>Femenino</t>
  </si>
  <si>
    <t>c(1531018.032</t>
  </si>
  <si>
    <t xml:space="preserve"> 5444185.766)</t>
  </si>
  <si>
    <t xml:space="preserve">Depende el aÃ±o </t>
  </si>
  <si>
    <t>1_matedulce1</t>
  </si>
  <si>
    <t>matedulce1</t>
  </si>
  <si>
    <t>Gaia</t>
  </si>
  <si>
    <t>c(1530177.155</t>
  </si>
  <si>
    <t>Trabajo</t>
  </si>
  <si>
    <t xml:space="preserve"> 5442630.015)</t>
  </si>
  <si>
    <t>2_matedulce1</t>
  </si>
  <si>
    <t>c(1527430.194</t>
  </si>
  <si>
    <t xml:space="preserve"> 5440132.02)</t>
  </si>
  <si>
    <t>c(1530181.777</t>
  </si>
  <si>
    <t xml:space="preserve"> 5442631.551)</t>
  </si>
  <si>
    <t>3_matedulce1</t>
  </si>
  <si>
    <t>c(1527440.569</t>
  </si>
  <si>
    <t xml:space="preserve"> 5440135.49)</t>
  </si>
  <si>
    <t>c(1530185.707</t>
  </si>
  <si>
    <t xml:space="preserve"> 5442628.092)</t>
  </si>
  <si>
    <t>4_matedulce1</t>
  </si>
  <si>
    <t>c(1527434.487</t>
  </si>
  <si>
    <t xml:space="preserve"> 5440116.703)</t>
  </si>
  <si>
    <t>c(1527445.751</t>
  </si>
  <si>
    <t>c(1530185.089</t>
  </si>
  <si>
    <t xml:space="preserve"> 5440095.979)</t>
  </si>
  <si>
    <t xml:space="preserve"> 5442620.653)</t>
  </si>
  <si>
    <t>5_matedulce1</t>
  </si>
  <si>
    <t>c(1527460.614</t>
  </si>
  <si>
    <t xml:space="preserve"> 5440103.024)</t>
  </si>
  <si>
    <t>c(1530184.653</t>
  </si>
  <si>
    <t xml:space="preserve"> 5442616.657)</t>
  </si>
  <si>
    <t xml:space="preserve">Casi no cruzamos gente, aun habia mucha nieve y el timing con el clima fue perfecto, nos llovio 3 dÃ­as pero no nos afecto. Desafios cruzar el faldeo del cab y subir al cristales con gran cantidad de. Nieve </t>
  </si>
  <si>
    <t>c(1527468.998</t>
  </si>
  <si>
    <t xml:space="preserve"> 5440084.342)</t>
  </si>
  <si>
    <t>6_matedulce1</t>
  </si>
  <si>
    <t>c(1527368.403</t>
  </si>
  <si>
    <t>c(1530180.862</t>
  </si>
  <si>
    <t xml:space="preserve"> 5439976.325)</t>
  </si>
  <si>
    <t xml:space="preserve"> 5442613.23)</t>
  </si>
  <si>
    <t>7_matedulce1</t>
  </si>
  <si>
    <t>c(1527368.57</t>
  </si>
  <si>
    <t xml:space="preserve"> 5439976.102)</t>
  </si>
  <si>
    <t>c(1530183.354</t>
  </si>
  <si>
    <t xml:space="preserve"> 5442607)</t>
  </si>
  <si>
    <t>8_matedulce1</t>
  </si>
  <si>
    <t>c(1527370.179</t>
  </si>
  <si>
    <t xml:space="preserve"> 5439980.316)</t>
  </si>
  <si>
    <t>c(1530184.092</t>
  </si>
  <si>
    <t xml:space="preserve"> 5442602.666)</t>
  </si>
  <si>
    <t>c(1527374.632</t>
  </si>
  <si>
    <t xml:space="preserve"> 5439982.076)</t>
  </si>
  <si>
    <t>9_matedulce1</t>
  </si>
  <si>
    <t>c(1527378.84</t>
  </si>
  <si>
    <t xml:space="preserve"> 5439985.503)</t>
  </si>
  <si>
    <t>c(1530187.687</t>
  </si>
  <si>
    <t xml:space="preserve"> 5442599.43)</t>
  </si>
  <si>
    <t>c(1527377.776</t>
  </si>
  <si>
    <t xml:space="preserve"> 5439992.726)</t>
  </si>
  <si>
    <t>10_matedulce1</t>
  </si>
  <si>
    <t>c(1527374.915</t>
  </si>
  <si>
    <t xml:space="preserve"> 5439990.405)</t>
  </si>
  <si>
    <t>c(1530187.582</t>
  </si>
  <si>
    <t xml:space="preserve"> 5442594.322)</t>
  </si>
  <si>
    <t>1_matedulceb</t>
  </si>
  <si>
    <t>matedulceb</t>
  </si>
  <si>
    <t>c(1527394.972</t>
  </si>
  <si>
    <t>nombre_costo</t>
  </si>
  <si>
    <t xml:space="preserve"> 5439992.217)</t>
  </si>
  <si>
    <t>c(1529596.609</t>
  </si>
  <si>
    <t xml:space="preserve"> 5442036.446)</t>
  </si>
  <si>
    <t>2_matedulceb</t>
  </si>
  <si>
    <t>c(1527399.082</t>
  </si>
  <si>
    <t xml:space="preserve"> 5439992.091)</t>
  </si>
  <si>
    <t>c(1527398.62</t>
  </si>
  <si>
    <t xml:space="preserve"> 5440025.411)</t>
  </si>
  <si>
    <t>c(1529591.49</t>
  </si>
  <si>
    <t xml:space="preserve"> 5442036.467)</t>
  </si>
  <si>
    <t>c(1527402.144</t>
  </si>
  <si>
    <t xml:space="preserve"> 5440025.619)</t>
  </si>
  <si>
    <t>3_matedulceb</t>
  </si>
  <si>
    <t>c(1527583.473</t>
  </si>
  <si>
    <t>c(1529581.28</t>
  </si>
  <si>
    <t xml:space="preserve"> 5439855.159)</t>
  </si>
  <si>
    <t xml:space="preserve"> 5442043.172)</t>
  </si>
  <si>
    <t>Praderas</t>
  </si>
  <si>
    <t>c(1527587.598</t>
  </si>
  <si>
    <t>4_matedulceb</t>
  </si>
  <si>
    <t>Estuvo bueno. Fue chocante llegar a ilon y ver que el descontrol no cambiÃ³ con los aÃ±os a pesar del refugio existente</t>
  </si>
  <si>
    <t>elev_ganada</t>
  </si>
  <si>
    <t xml:space="preserve"> 5439824.297)</t>
  </si>
  <si>
    <t>elev_perdida</t>
  </si>
  <si>
    <t>distancia_km_earth</t>
  </si>
  <si>
    <t>c(1529573.995</t>
  </si>
  <si>
    <t xml:space="preserve"> 5442047.199)</t>
  </si>
  <si>
    <t>total_tiempo_tramo_min</t>
  </si>
  <si>
    <t>total_visitantes</t>
  </si>
  <si>
    <t>c(1527609.312</t>
  </si>
  <si>
    <t xml:space="preserve"> 5439733.79)</t>
  </si>
  <si>
    <t>tiempo_horizontal_h</t>
  </si>
  <si>
    <t>5_matedulceb</t>
  </si>
  <si>
    <t>tiempo_ascenso_h</t>
  </si>
  <si>
    <t>tiempo_descenso_h</t>
  </si>
  <si>
    <t>tiempo_vertical_h</t>
  </si>
  <si>
    <t>c(1527601.679</t>
  </si>
  <si>
    <t>c(1529565.955</t>
  </si>
  <si>
    <t>tiempo_h</t>
  </si>
  <si>
    <t xml:space="preserve"> 5439622.268)</t>
  </si>
  <si>
    <t xml:space="preserve"> 5442051.119)</t>
  </si>
  <si>
    <t>tiempo_min</t>
  </si>
  <si>
    <t>recargo_mochila</t>
  </si>
  <si>
    <t>tipo_sendero</t>
  </si>
  <si>
    <t>vicentelopez</t>
  </si>
  <si>
    <t>recargo_tipo_sendero</t>
  </si>
  <si>
    <t>recargo_parada</t>
  </si>
  <si>
    <t>6_matedulceb</t>
  </si>
  <si>
    <t>c(1527543.274</t>
  </si>
  <si>
    <t>En los Ãºltimos 5 aÃ±os</t>
  </si>
  <si>
    <t xml:space="preserve"> 5439720.674)</t>
  </si>
  <si>
    <t>hora</t>
  </si>
  <si>
    <t>c(1529556.822</t>
  </si>
  <si>
    <t xml:space="preserve"> 5442054.377)</t>
  </si>
  <si>
    <t>c(1527555.837</t>
  </si>
  <si>
    <t xml:space="preserve"> 5439737.397)</t>
  </si>
  <si>
    <t>c(1527556.274</t>
  </si>
  <si>
    <t xml:space="preserve"> 5439742.06)</t>
  </si>
  <si>
    <t>c(1527552.277</t>
  </si>
  <si>
    <t>7_matedulceb</t>
  </si>
  <si>
    <t xml:space="preserve"> 5439749.96)</t>
  </si>
  <si>
    <t>c(1527563.27</t>
  </si>
  <si>
    <t xml:space="preserve"> 5439750.807)</t>
  </si>
  <si>
    <t>c(1527565.516</t>
  </si>
  <si>
    <t xml:space="preserve"> 5439745.912)</t>
  </si>
  <si>
    <t>c(1527577.364</t>
  </si>
  <si>
    <t xml:space="preserve"> 5439728.875)</t>
  </si>
  <si>
    <t>c(1527580.624</t>
  </si>
  <si>
    <t xml:space="preserve"> 5439725.642)</t>
  </si>
  <si>
    <t xml:space="preserve"> Vi muchas fotos lindas y quise conocer</t>
  </si>
  <si>
    <t>c(1527584.549</t>
  </si>
  <si>
    <t xml:space="preserve"> 5439721.185)</t>
  </si>
  <si>
    <t>c(1527584.093</t>
  </si>
  <si>
    <t xml:space="preserve"> 5439666.989)</t>
  </si>
  <si>
    <t>c(1527583.157</t>
  </si>
  <si>
    <t xml:space="preserve"> 5439663.439)</t>
  </si>
  <si>
    <t>c(1527452.52</t>
  </si>
  <si>
    <t xml:space="preserve"> 5439724.126)</t>
  </si>
  <si>
    <t>c(1527388.826</t>
  </si>
  <si>
    <t xml:space="preserve"> 5439718.146)</t>
  </si>
  <si>
    <t xml:space="preserve">El mejor viaje de mi vida. </t>
  </si>
  <si>
    <t>Laguna Negra</t>
  </si>
  <si>
    <t>c(1527386.038</t>
  </si>
  <si>
    <t xml:space="preserve"> 5439712.825)</t>
  </si>
  <si>
    <t>c(1529551.215</t>
  </si>
  <si>
    <t xml:space="preserve"> 5442058.175)</t>
  </si>
  <si>
    <t>c(1527377.172</t>
  </si>
  <si>
    <t xml:space="preserve"> 5439719.855)</t>
  </si>
  <si>
    <t>Solo mujeres</t>
  </si>
  <si>
    <t>45-54</t>
  </si>
  <si>
    <t>c(1527346.944</t>
  </si>
  <si>
    <t xml:space="preserve"> 5439689.872)</t>
  </si>
  <si>
    <t>c(1527349.977</t>
  </si>
  <si>
    <t>DesafÃ­o y aventura</t>
  </si>
  <si>
    <t xml:space="preserve"> 5439693.414)</t>
  </si>
  <si>
    <t>c(1527324.103</t>
  </si>
  <si>
    <t xml:space="preserve"> 5439683.738)</t>
  </si>
  <si>
    <t>c(1527321.087</t>
  </si>
  <si>
    <t xml:space="preserve"> 5439684.638)</t>
  </si>
  <si>
    <t>c(1527417.146</t>
  </si>
  <si>
    <t xml:space="preserve"> 5439887.516)</t>
  </si>
  <si>
    <t>8_matedulceb</t>
  </si>
  <si>
    <t>c(1527416.141</t>
  </si>
  <si>
    <t xml:space="preserve"> 5439888.186)</t>
  </si>
  <si>
    <t>c(1525613.857</t>
  </si>
  <si>
    <t xml:space="preserve"> 5440250.901)</t>
  </si>
  <si>
    <t>c(1525611.107</t>
  </si>
  <si>
    <t xml:space="preserve"> 5440256.131)</t>
  </si>
  <si>
    <t>c(1525612.713</t>
  </si>
  <si>
    <t xml:space="preserve"> 5440259.679)</t>
  </si>
  <si>
    <t>c(1525615.486</t>
  </si>
  <si>
    <t xml:space="preserve"> 5440261.002)</t>
  </si>
  <si>
    <t>c(1525596.589</t>
  </si>
  <si>
    <t xml:space="preserve"> 5440255.182)</t>
  </si>
  <si>
    <t>c(1523930.712</t>
  </si>
  <si>
    <t xml:space="preserve"> 5441013.002)</t>
  </si>
  <si>
    <t>c(1523938.377</t>
  </si>
  <si>
    <t xml:space="preserve"> 5441033.034)</t>
  </si>
  <si>
    <t>c(1523994.467</t>
  </si>
  <si>
    <t xml:space="preserve"> 5441102.923)</t>
  </si>
  <si>
    <t>c(1523948.896</t>
  </si>
  <si>
    <t xml:space="preserve"> 5441089.171)</t>
  </si>
  <si>
    <t>c(1523937.975</t>
  </si>
  <si>
    <t xml:space="preserve"> 5441106.272)</t>
  </si>
  <si>
    <t>c(1523933.214</t>
  </si>
  <si>
    <t>c(1529546.201</t>
  </si>
  <si>
    <t xml:space="preserve"> 5441022.948)</t>
  </si>
  <si>
    <t xml:space="preserve"> 5442063.304)</t>
  </si>
  <si>
    <t>c(1523915.901</t>
  </si>
  <si>
    <t xml:space="preserve"> 5440978.261)</t>
  </si>
  <si>
    <t xml:space="preserve">Yo vivÃ­ la travesÃ­a con mucho entusiasmo llegaba a una laguna y ya querÃ­a saber cual serÃ­a la prÃ³xima muy feliz de poder hacerla siendo de Bariloche nacida y criada reciÃ©n a esta edad empecÃ© a recorrer nuestros hermosos paisajes </t>
  </si>
  <si>
    <t>c(1523914.696</t>
  </si>
  <si>
    <t xml:space="preserve"> 5440988.815)</t>
  </si>
  <si>
    <t>c(1523955.349</t>
  </si>
  <si>
    <t xml:space="preserve"> 5440997.409)</t>
  </si>
  <si>
    <t>c(1523954.256</t>
  </si>
  <si>
    <t xml:space="preserve"> 5440977.789)</t>
  </si>
  <si>
    <t>c(1522429.576</t>
  </si>
  <si>
    <t xml:space="preserve"> 5440543.436)</t>
  </si>
  <si>
    <t>c(1522431.324</t>
  </si>
  <si>
    <t xml:space="preserve"> 5440552.551)</t>
  </si>
  <si>
    <t>9_matedulceb</t>
  </si>
  <si>
    <t>c(1522439.175</t>
  </si>
  <si>
    <t xml:space="preserve"> 5440547.196)</t>
  </si>
  <si>
    <t>c(1522449.303</t>
  </si>
  <si>
    <t xml:space="preserve"> 5440543.132)</t>
  </si>
  <si>
    <t>caba</t>
  </si>
  <si>
    <t>Recientemente</t>
  </si>
  <si>
    <t>c(1529532.766</t>
  </si>
  <si>
    <t xml:space="preserve"> 5442061.249)</t>
  </si>
  <si>
    <t>10_matedulceb</t>
  </si>
  <si>
    <t>Centro de informes</t>
  </si>
  <si>
    <t>c(1529524.057</t>
  </si>
  <si>
    <t xml:space="preserve"> 5442065.726)</t>
  </si>
  <si>
    <t>1_matedulce2</t>
  </si>
  <si>
    <t>matedulce2</t>
  </si>
  <si>
    <t>c(1529608.24</t>
  </si>
  <si>
    <t xml:space="preserve"> 5441738.538)</t>
  </si>
  <si>
    <t>c(1522459.376</t>
  </si>
  <si>
    <t xml:space="preserve"> 5440541.627)</t>
  </si>
  <si>
    <t xml:space="preserve"> Matorrales</t>
  </si>
  <si>
    <t>2_matedulce2</t>
  </si>
  <si>
    <t>c(1522453.692</t>
  </si>
  <si>
    <t xml:space="preserve"> 5440550.675)</t>
  </si>
  <si>
    <t>Playa MuÃ±oz fue increible</t>
  </si>
  <si>
    <t>Hotel</t>
  </si>
  <si>
    <t>c(1522440.516</t>
  </si>
  <si>
    <t xml:space="preserve"> 5440563.77)</t>
  </si>
  <si>
    <t>c(1529611.295</t>
  </si>
  <si>
    <t xml:space="preserve"> 5441746.966)</t>
  </si>
  <si>
    <t>3_matedulce2</t>
  </si>
  <si>
    <t>c(1522693.499</t>
  </si>
  <si>
    <t xml:space="preserve"> 5440195.453)</t>
  </si>
  <si>
    <t>c(1529611.312</t>
  </si>
  <si>
    <t xml:space="preserve"> 5441751.075)</t>
  </si>
  <si>
    <t>c(1522684.399</t>
  </si>
  <si>
    <t xml:space="preserve"> 5440191.089)</t>
  </si>
  <si>
    <t>4_matedulce2</t>
  </si>
  <si>
    <t>c(1522679.438</t>
  </si>
  <si>
    <t xml:space="preserve"> 5440182.151)</t>
  </si>
  <si>
    <t>c(1529606.635</t>
  </si>
  <si>
    <t xml:space="preserve"> 5441756.536)</t>
  </si>
  <si>
    <t>c(1522668.172</t>
  </si>
  <si>
    <t xml:space="preserve"> 5440184.103)</t>
  </si>
  <si>
    <t>5_matedulce2</t>
  </si>
  <si>
    <t>Lamentablemente tuvimos que volver debido al incendio. Lamentamos que en ningÃºn momento se hayan preocupado por nosotros mientras regresÃ¡bamos al refugio. Nunca nos preguntaron si estÃ¡bamos bien o si necesitÃ¡bamos algo. Ã‰sto es algo que tienen que mejorar los refugieros del Laguna Negra.</t>
  </si>
  <si>
    <t>Laguna CAB (llegada)</t>
  </si>
  <si>
    <t>c(1529601.357</t>
  </si>
  <si>
    <t xml:space="preserve"> 5441758.667)</t>
  </si>
  <si>
    <t>c(1522650.453</t>
  </si>
  <si>
    <t xml:space="preserve"> 5440172.541)</t>
  </si>
  <si>
    <t>6_matedulce2</t>
  </si>
  <si>
    <t>c(1529597.337</t>
  </si>
  <si>
    <t xml:space="preserve"> 5441760.571)</t>
  </si>
  <si>
    <t>7_matedulce2</t>
  </si>
  <si>
    <t>c(1522660.737</t>
  </si>
  <si>
    <t xml:space="preserve"> 5440170.332)</t>
  </si>
  <si>
    <t>c(1522697.894</t>
  </si>
  <si>
    <t xml:space="preserve"> 5440155.962)</t>
  </si>
  <si>
    <t>c(1529594.334</t>
  </si>
  <si>
    <t xml:space="preserve"> 5441764.915)</t>
  </si>
  <si>
    <t>c(1522707.251</t>
  </si>
  <si>
    <t xml:space="preserve"> 5440159.95)</t>
  </si>
  <si>
    <t>8_matedulce2</t>
  </si>
  <si>
    <t>c(1522717.004</t>
  </si>
  <si>
    <t>c(1529590.987</t>
  </si>
  <si>
    <t xml:space="preserve"> 5440162.467)</t>
  </si>
  <si>
    <t xml:space="preserve"> 5441767.372)</t>
  </si>
  <si>
    <t>9_matedulce2</t>
  </si>
  <si>
    <t>c(1522721.089</t>
  </si>
  <si>
    <t xml:space="preserve"> 5440183.762)</t>
  </si>
  <si>
    <t>c(1529588.89</t>
  </si>
  <si>
    <t xml:space="preserve"> 5441767.38)</t>
  </si>
  <si>
    <t>10_matedulce2</t>
  </si>
  <si>
    <t>c(1522712.592</t>
  </si>
  <si>
    <t xml:space="preserve"> 5440189.1)</t>
  </si>
  <si>
    <t>c(1529583.527</t>
  </si>
  <si>
    <t xml:space="preserve"> 5441769.401)</t>
  </si>
  <si>
    <t>c(1522703.506</t>
  </si>
  <si>
    <t xml:space="preserve"> 5440186.261)</t>
  </si>
  <si>
    <t>c(1522700.128</t>
  </si>
  <si>
    <t xml:space="preserve"> 5440185.914)</t>
  </si>
  <si>
    <t>1_creton</t>
  </si>
  <si>
    <t>c(1522694.652</t>
  </si>
  <si>
    <t xml:space="preserve"> 5440183.101)</t>
  </si>
  <si>
    <t>c(1522694.059</t>
  </si>
  <si>
    <t xml:space="preserve"> 5440182.263)</t>
  </si>
  <si>
    <t>c(1527480.175</t>
  </si>
  <si>
    <t xml:space="preserve"> 5440095.405)</t>
  </si>
  <si>
    <t>c(1522710.291</t>
  </si>
  <si>
    <t xml:space="preserve"> 5440179.318)</t>
  </si>
  <si>
    <t>2_creton</t>
  </si>
  <si>
    <t>c(1522712.459</t>
  </si>
  <si>
    <t xml:space="preserve"> 5440174.69)</t>
  </si>
  <si>
    <t>c(1527468.712</t>
  </si>
  <si>
    <t xml:space="preserve"> 5440103.444)</t>
  </si>
  <si>
    <t>c(1522712.604</t>
  </si>
  <si>
    <t>Excelente aventura varidad de paisajes. Nuestro grupo utiliza cacatubo no dejamos residuos</t>
  </si>
  <si>
    <t xml:space="preserve"> 5440174.431)</t>
  </si>
  <si>
    <t>Laguna CAB (despuÃ©s de rodearla)</t>
  </si>
  <si>
    <t>3_creton</t>
  </si>
  <si>
    <t>c(1522712.638</t>
  </si>
  <si>
    <t xml:space="preserve"> 5440177.363)</t>
  </si>
  <si>
    <t>c(1527463.934</t>
  </si>
  <si>
    <t xml:space="preserve"> 5440104.35)</t>
  </si>
  <si>
    <t>c(1522679.525</t>
  </si>
  <si>
    <t xml:space="preserve"> 5440183.335)</t>
  </si>
  <si>
    <t>lamatanza</t>
  </si>
  <si>
    <t>4_creton</t>
  </si>
  <si>
    <t>c(1522680.258</t>
  </si>
  <si>
    <t>c(1522669.632</t>
  </si>
  <si>
    <t xml:space="preserve"> 5440170.431)</t>
  </si>
  <si>
    <t>c(1527455.876</t>
  </si>
  <si>
    <t xml:space="preserve"> 5440103.27)</t>
  </si>
  <si>
    <t>c(1522664.177</t>
  </si>
  <si>
    <t xml:space="preserve"> 5440173.965)</t>
  </si>
  <si>
    <t>5_creton</t>
  </si>
  <si>
    <t>c(1522692.064</t>
  </si>
  <si>
    <t xml:space="preserve"> 5440173.637)</t>
  </si>
  <si>
    <t>c(1527457.481</t>
  </si>
  <si>
    <t xml:space="preserve">Gran experiencia, ideal para grupo. Nos sirviÃ³ para conocernos mÃ¡s, entablar amistades. Se disfruto, nos cuidamos, </t>
  </si>
  <si>
    <t xml:space="preserve"> 5440106.152)</t>
  </si>
  <si>
    <t>c(1522675.34</t>
  </si>
  <si>
    <t xml:space="preserve"> 5440167.452)</t>
  </si>
  <si>
    <t>6_creton</t>
  </si>
  <si>
    <t xml:space="preserve">En solitario </t>
  </si>
  <si>
    <t>piura</t>
  </si>
  <si>
    <t>c(1522678.449</t>
  </si>
  <si>
    <t>peru</t>
  </si>
  <si>
    <t xml:space="preserve"> 5440171.009)</t>
  </si>
  <si>
    <t>c(1527450.405</t>
  </si>
  <si>
    <t>internacional</t>
  </si>
  <si>
    <t xml:space="preserve"> 5440098.626)</t>
  </si>
  <si>
    <t>Redes sociales</t>
  </si>
  <si>
    <t>c(1522507.274</t>
  </si>
  <si>
    <t xml:space="preserve"> 5439984.134)</t>
  </si>
  <si>
    <t>7_creton</t>
  </si>
  <si>
    <t>c(1522473.07146619</t>
  </si>
  <si>
    <t xml:space="preserve"> 5439988.80344407)</t>
  </si>
  <si>
    <t>c(1527446.286</t>
  </si>
  <si>
    <t xml:space="preserve"> 5440096.421)</t>
  </si>
  <si>
    <t>c(1522479.43583098</t>
  </si>
  <si>
    <t>Estuvo muy linda! Aunque no muy seÃ±alizada por lo que el uso de mapa era fundamental. La parte de el cruce de la Laguna Cab caminando me pareciÃ³ bastante singular y lindo, aunque es algo que los refugieros deberÃ­an decirte de manera proactiva (yo me enterÃ© por Internet y otra persona que hizo el sendero no lo sabÃ­a). Otra parte desafiante que me gusto mucho fue el ascenso y descenso del cerro cristal, posiblemente la parte mÃ¡s complicada del tramo.
En mi opiniÃ³n deberÃ­an seÃ±alizar mÃ¡s la ruta y mantenerla, ya que al ser una una travesÃ­a larga y llevar un equipaje cargado y voluminoso, las sendas deberÃ­an tener el espacio para poder transitar de una manera quizÃ¡s un poco mÃ¡s Ã³ptima. Hacer el recorrido sin un mapa puede llegar a ser peligroso...</t>
  </si>
  <si>
    <t xml:space="preserve"> 5439993.12212018)</t>
  </si>
  <si>
    <t>8_creton</t>
  </si>
  <si>
    <t>Laguna CretÃ³n</t>
  </si>
  <si>
    <t>Laguna IlÃ³n</t>
  </si>
  <si>
    <t>Refugio Rocca</t>
  </si>
  <si>
    <t>c(1522487.39128698</t>
  </si>
  <si>
    <t xml:space="preserve"> 5439996.75890006)</t>
  </si>
  <si>
    <t>c(1527442.435</t>
  </si>
  <si>
    <t xml:space="preserve"> 5440098.545)</t>
  </si>
  <si>
    <t>c(1522493.52835303</t>
  </si>
  <si>
    <t xml:space="preserve"> 5439993.34941892)</t>
  </si>
  <si>
    <t>9_creton</t>
  </si>
  <si>
    <t>c(1522499.21082159</t>
  </si>
  <si>
    <t>Suunto</t>
  </si>
  <si>
    <t xml:space="preserve"> 5439989.03074281)</t>
  </si>
  <si>
    <t>c(1527433.455</t>
  </si>
  <si>
    <t xml:space="preserve"> 5440097.579)</t>
  </si>
  <si>
    <t>c(1522505.34788765</t>
  </si>
  <si>
    <t xml:space="preserve"> 5439984.48476796)</t>
  </si>
  <si>
    <t>10_creton</t>
  </si>
  <si>
    <t>c(1522485.11829955</t>
  </si>
  <si>
    <t>Me encantÃ³ la travesÃ­a, fuimos con mucho cuidado, disfrutando el paisaje. Todos llevamos cacatutubo y regresamos con nuestros residuos. Contabamos con ropa impermeable y de abrigo. Usamos Jetboil para calentar agua y tenÃ­amos todas las comidas planificadas.</t>
  </si>
  <si>
    <t xml:space="preserve"> 5439987.21235287)</t>
  </si>
  <si>
    <t>Pozones CretÃ³n</t>
  </si>
  <si>
    <t>c(1527397.188</t>
  </si>
  <si>
    <t xml:space="preserve"> 5440090.83)</t>
  </si>
  <si>
    <t>c(1522492.8464568</t>
  </si>
  <si>
    <t xml:space="preserve"> 5439983.34827425)</t>
  </si>
  <si>
    <t>11_creton</t>
  </si>
  <si>
    <t>18-24</t>
  </si>
  <si>
    <t>En los Ãºltimos 2 aÃ±os</t>
  </si>
  <si>
    <t>c(1522501.25651028</t>
  </si>
  <si>
    <t>c(1527393.824</t>
  </si>
  <si>
    <t xml:space="preserve"> 5439977.21120819)</t>
  </si>
  <si>
    <t xml:space="preserve"> 5440088.732)</t>
  </si>
  <si>
    <t>Paginas oficiales</t>
  </si>
  <si>
    <t>c(1522476.70824607</t>
  </si>
  <si>
    <t xml:space="preserve"> 5439984.93936545)</t>
  </si>
  <si>
    <t>12_creton</t>
  </si>
  <si>
    <t>c(1522481.93611715</t>
  </si>
  <si>
    <t xml:space="preserve"> 5439979.48419562)</t>
  </si>
  <si>
    <t>c(1527382.826</t>
  </si>
  <si>
    <t xml:space="preserve"> 5440086.441)</t>
  </si>
  <si>
    <t>c(1522492.16456057</t>
  </si>
  <si>
    <t xml:space="preserve"> 5439975.84741574)</t>
  </si>
  <si>
    <t>13_creton</t>
  </si>
  <si>
    <t>ranchomanolo</t>
  </si>
  <si>
    <t>Lo que mÃ¡s me gustÃ³ fue el desafÃ­o de estar varios dÃ­as al intemperie y lograr esos filos de los cerros cab y cristal. Momento mÃ¡s Ã©pico fue encontrarse la Laguna Azul, si bien no forma parte, es bellÃ­sima</t>
  </si>
  <si>
    <t>c(1536345.854</t>
  </si>
  <si>
    <t xml:space="preserve"> 5445428.919)</t>
  </si>
  <si>
    <t>c(1527376.195</t>
  </si>
  <si>
    <t xml:space="preserve"> 5440085.578)</t>
  </si>
  <si>
    <t>c(1536352.839</t>
  </si>
  <si>
    <t xml:space="preserve"> 5445436.22)</t>
  </si>
  <si>
    <t>14_creton</t>
  </si>
  <si>
    <t>cordoba</t>
  </si>
  <si>
    <t>c(1536358.732</t>
  </si>
  <si>
    <t>c(1527363.37</t>
  </si>
  <si>
    <t xml:space="preserve"> 5445416.876)</t>
  </si>
  <si>
    <t xml:space="preserve"> 5440088.402)</t>
  </si>
  <si>
    <t>otrasprovincias</t>
  </si>
  <si>
    <t>15_creton</t>
  </si>
  <si>
    <t>c(1536353.887</t>
  </si>
  <si>
    <t xml:space="preserve"> 5445477.84)</t>
  </si>
  <si>
    <t>c(1527357.066</t>
  </si>
  <si>
    <t xml:space="preserve"> 5440085.094)</t>
  </si>
  <si>
    <t>c(1536351.76</t>
  </si>
  <si>
    <t xml:space="preserve"> 5445439.865)</t>
  </si>
  <si>
    <t>La vista de Laguna Azul luego de pasar por CretÃ³n es espectacular. TambiÃ©n me gusto mucho atravesar el filo del cerro Cristales. 
Fue una linda travesÃ­a compartida con amigos que decidimos hacerla en 5 dÃ­as para poder caminar despacio e ir apreciando la espectacularidad del PN NH.</t>
  </si>
  <si>
    <t>c(1536356.881</t>
  </si>
  <si>
    <t xml:space="preserve"> 5445431.209)</t>
  </si>
  <si>
    <t>16_creton</t>
  </si>
  <si>
    <t>c(1536411.334</t>
  </si>
  <si>
    <t>c(1527344.965</t>
  </si>
  <si>
    <t xml:space="preserve"> 5445442.202)</t>
  </si>
  <si>
    <t xml:space="preserve"> 5440079.587)</t>
  </si>
  <si>
    <t>gonzalezcatan</t>
  </si>
  <si>
    <t>c(1536402.728</t>
  </si>
  <si>
    <t xml:space="preserve"> 5445434.939)</t>
  </si>
  <si>
    <t>17_creton</t>
  </si>
  <si>
    <t>c(1536349.03500572</t>
  </si>
  <si>
    <t xml:space="preserve"> 5445478.27375705)</t>
  </si>
  <si>
    <t>c(1536359.31125463</t>
  </si>
  <si>
    <t xml:space="preserve"> 5445474.20072624)</t>
  </si>
  <si>
    <t>c(1527335.574</t>
  </si>
  <si>
    <t xml:space="preserve"> 5440081.066)</t>
  </si>
  <si>
    <t>Grupalmente fue complejo, cuando llegamos a CAB decidimos que al dÃ­a siguiente harÃ­amos noche en el Mallin de Mate Dulce para poder descansar ya que para algunos fue la primera travesÃ­a que realizaban. Fue buena decisiÃ³n porque posteriormente bajar el Cerro Cristal llevÃ³ mucho tiempo, esfuerzo y concentraciÃ³n para no ponernos en peligro. El grupo finalizÃ³ la travesÃ­a con muchas ganas de volver pronto. Hermosa experiencia.</t>
  </si>
  <si>
    <t>MallÃ­n del Mate Dulce/ MallÃ­n de Las Vueltas</t>
  </si>
  <si>
    <t>c(1536338.74936643</t>
  </si>
  <si>
    <t xml:space="preserve"> 5445448.51924296)</t>
  </si>
  <si>
    <t>18_creton</t>
  </si>
  <si>
    <t>c(1536345.34102996</t>
  </si>
  <si>
    <t xml:space="preserve"> 5445450.11033416)</t>
  </si>
  <si>
    <t>c(1527321.446</t>
  </si>
  <si>
    <t>Es la segunda vez</t>
  </si>
  <si>
    <t xml:space="preserve"> 5440071.901)</t>
  </si>
  <si>
    <t>c(1536346.25022493</t>
  </si>
  <si>
    <t xml:space="preserve"> 5445437.83620206)</t>
  </si>
  <si>
    <t>Disfrutar del paisaje</t>
  </si>
  <si>
    <t>19_creton</t>
  </si>
  <si>
    <t>c(1536395.11945461</t>
  </si>
  <si>
    <t xml:space="preserve"> 5445435.56321463)</t>
  </si>
  <si>
    <t>c(1536364.88872183</t>
  </si>
  <si>
    <t xml:space="preserve"> 5445421.69799133)</t>
  </si>
  <si>
    <t>La experiencia fue maravillosa. Lo mejor fue la vista del tronador desde el col del cerro capitÃ¡n.</t>
  </si>
  <si>
    <t>c(1527317.288</t>
  </si>
  <si>
    <t xml:space="preserve"> 5440059.366)</t>
  </si>
  <si>
    <t>c(1536368.52550172</t>
  </si>
  <si>
    <t xml:space="preserve"> 5445429.65344732)</t>
  </si>
  <si>
    <t>20_creton</t>
  </si>
  <si>
    <t>c(1536359.43355201</t>
  </si>
  <si>
    <t xml:space="preserve"> 5445438.97269577)</t>
  </si>
  <si>
    <t>c(1527315.742</t>
  </si>
  <si>
    <t xml:space="preserve"> 5440049.821)</t>
  </si>
  <si>
    <t>c(1536348.7505111</t>
  </si>
  <si>
    <t xml:space="preserve"> 5445443.74596936)</t>
  </si>
  <si>
    <t>Strava</t>
  </si>
  <si>
    <t>c(1536378.75394514</t>
  </si>
  <si>
    <t xml:space="preserve"> 5445438.51809828)</t>
  </si>
  <si>
    <t>21_creton</t>
  </si>
  <si>
    <t>ln</t>
  </si>
  <si>
    <t>c(1535639.613</t>
  </si>
  <si>
    <t xml:space="preserve"> 5446194.417)</t>
  </si>
  <si>
    <t>c(1535646.674</t>
  </si>
  <si>
    <t xml:space="preserve"> 5446196.159)</t>
  </si>
  <si>
    <t>c(1527316.457</t>
  </si>
  <si>
    <t xml:space="preserve"> 5440038.935)</t>
  </si>
  <si>
    <t>c(1535646.801</t>
  </si>
  <si>
    <t xml:space="preserve"> 5446187.718)</t>
  </si>
  <si>
    <t>ricardo1</t>
  </si>
  <si>
    <t>1_ricardo</t>
  </si>
  <si>
    <t>c(1535653.005</t>
  </si>
  <si>
    <t xml:space="preserve"> 5446185.911)</t>
  </si>
  <si>
    <t xml:space="preserve">Ã‰pico </t>
  </si>
  <si>
    <t>c(1535527.316</t>
  </si>
  <si>
    <t xml:space="preserve"> 5446169.53)</t>
  </si>
  <si>
    <t>c(1523928.485</t>
  </si>
  <si>
    <t xml:space="preserve"> 5441012.71)</t>
  </si>
  <si>
    <t>c(1535656.879</t>
  </si>
  <si>
    <t xml:space="preserve"> 5446188.113)</t>
  </si>
  <si>
    <t>c(1535658.495</t>
  </si>
  <si>
    <t xml:space="preserve"> 5446192.437)</t>
  </si>
  <si>
    <t>2_ricardo</t>
  </si>
  <si>
    <t>c(1535665.853</t>
  </si>
  <si>
    <t xml:space="preserve"> 5446186.07)</t>
  </si>
  <si>
    <t>Realizar actividades deportivas</t>
  </si>
  <si>
    <t>c(1523930.176</t>
  </si>
  <si>
    <t xml:space="preserve"> 5441016.369)</t>
  </si>
  <si>
    <t>c(1535673.086</t>
  </si>
  <si>
    <t xml:space="preserve"> 5446171.375)</t>
  </si>
  <si>
    <t>3_ricardo</t>
  </si>
  <si>
    <t>c(1535663.523</t>
  </si>
  <si>
    <t xml:space="preserve"> 5446173.199)</t>
  </si>
  <si>
    <t>Paisajes hermosos</t>
  </si>
  <si>
    <t>c(1523929.592</t>
  </si>
  <si>
    <t xml:space="preserve"> 5441017.593)</t>
  </si>
  <si>
    <t>c(1535647.356</t>
  </si>
  <si>
    <t xml:space="preserve"> 5446163.726)</t>
  </si>
  <si>
    <t>4_ricardo</t>
  </si>
  <si>
    <t>c(1535642.255</t>
  </si>
  <si>
    <t xml:space="preserve"> 5446168.083)</t>
  </si>
  <si>
    <t>c(1523933.302</t>
  </si>
  <si>
    <t xml:space="preserve"> 5441023.245)</t>
  </si>
  <si>
    <t>c(1535643.533</t>
  </si>
  <si>
    <t xml:space="preserve"> 5446171.852)</t>
  </si>
  <si>
    <t>5_ricardo</t>
  </si>
  <si>
    <t>c(1535546.999</t>
  </si>
  <si>
    <t xml:space="preserve"> 5446159.662)</t>
  </si>
  <si>
    <t>c(1523934.239</t>
  </si>
  <si>
    <t xml:space="preserve"> 5441027.351)</t>
  </si>
  <si>
    <t>c(1535636.602</t>
  </si>
  <si>
    <t xml:space="preserve"> 5446179.66)</t>
  </si>
  <si>
    <t>c(1535637.528</t>
  </si>
  <si>
    <t>6_ricardo</t>
  </si>
  <si>
    <t xml:space="preserve"> 5446180.1)</t>
  </si>
  <si>
    <t>nos perdimos al no ver las seÃ±ales marcadas correctamente al llegar al valle entre laguna negra y laguna CAB, tuvimod que dormir al lado del segundo arroyo, yendo desde negra a cab. mucho arbol caido, quiza ahi se perdieron las marcas. Pegamos la vuelta al dia siguiente para laguna negra</t>
  </si>
  <si>
    <t>Arroyo La Chata</t>
  </si>
  <si>
    <t>c(1535636.529</t>
  </si>
  <si>
    <t xml:space="preserve"> 5446181.993)</t>
  </si>
  <si>
    <t>c(1523937.794</t>
  </si>
  <si>
    <t xml:space="preserve"> 5441036.779)</t>
  </si>
  <si>
    <t>c(1535648.965</t>
  </si>
  <si>
    <t xml:space="preserve"> 5446132.178)</t>
  </si>
  <si>
    <t>7_ricardo</t>
  </si>
  <si>
    <t>c(1535630.725</t>
  </si>
  <si>
    <t xml:space="preserve"> 5446128.157)</t>
  </si>
  <si>
    <t>c(1535632.044</t>
  </si>
  <si>
    <t xml:space="preserve"> 5446123.042)</t>
  </si>
  <si>
    <t>c(1523941.667</t>
  </si>
  <si>
    <t xml:space="preserve"> 5441040.987)</t>
  </si>
  <si>
    <t>Conocer lugares nuevos</t>
  </si>
  <si>
    <t>8_ricardo</t>
  </si>
  <si>
    <t>c(1535616.551</t>
  </si>
  <si>
    <t xml:space="preserve"> 5446114.122)</t>
  </si>
  <si>
    <t>c(1523940.418</t>
  </si>
  <si>
    <t xml:space="preserve"> 5441043.767)</t>
  </si>
  <si>
    <t>c(1535609.404</t>
  </si>
  <si>
    <t xml:space="preserve"> 5446129.261)</t>
  </si>
  <si>
    <t xml:space="preserve">Excelente </t>
  </si>
  <si>
    <t>9_ricardo</t>
  </si>
  <si>
    <t>c(1535604.527</t>
  </si>
  <si>
    <t xml:space="preserve"> 5446127.841)</t>
  </si>
  <si>
    <t>c(1523940.275</t>
  </si>
  <si>
    <t xml:space="preserve"> 5441051.431)</t>
  </si>
  <si>
    <t>c(1535603.383</t>
  </si>
  <si>
    <t xml:space="preserve"> 5446134.288)</t>
  </si>
  <si>
    <t>10_ricardo</t>
  </si>
  <si>
    <t>c(1535599.107</t>
  </si>
  <si>
    <t xml:space="preserve"> 5446135.419)</t>
  </si>
  <si>
    <t>c(1523944.32</t>
  </si>
  <si>
    <t>c(1535586.379</t>
  </si>
  <si>
    <t xml:space="preserve"> 5441056.749)</t>
  </si>
  <si>
    <t xml:space="preserve"> 5446125.264)</t>
  </si>
  <si>
    <t xml:space="preserve"> Trabajo</t>
  </si>
  <si>
    <t>11_ricardo</t>
  </si>
  <si>
    <t>c(1535588.597</t>
  </si>
  <si>
    <t xml:space="preserve"> 5446115.257)</t>
  </si>
  <si>
    <t>c(1523946.686</t>
  </si>
  <si>
    <t>c(1535596.157</t>
  </si>
  <si>
    <t xml:space="preserve"> 5441061.849)</t>
  </si>
  <si>
    <t xml:space="preserve"> 5446115.887)</t>
  </si>
  <si>
    <t>12_ricardo</t>
  </si>
  <si>
    <t>pampalinda</t>
  </si>
  <si>
    <t xml:space="preserve">Vi que necesita ser organizada con carteleria, limpieza de sendas, establecer lugares de baÃ±o y acampe. Es una travesÃ­a Ã©pica, toda ella, desafiante, pero es necesario educar a la gente para que fuera del ojo de un guarda parque o concesionario sepan como actuar en caso de baÃ±os, acampe, residuos.
Gracias por hacer esta encuesta! Es necesario cuidarla. </t>
  </si>
  <si>
    <t>c(1535596.623</t>
  </si>
  <si>
    <t xml:space="preserve"> 5446159.975)</t>
  </si>
  <si>
    <t>c(1523952.579</t>
  </si>
  <si>
    <t xml:space="preserve"> 5441068.049)</t>
  </si>
  <si>
    <t>13_ricardo</t>
  </si>
  <si>
    <t>c(1535607.411</t>
  </si>
  <si>
    <t xml:space="preserve"> 5446150.927)</t>
  </si>
  <si>
    <t>Yo soy guÃ­a. El resto primera vez</t>
  </si>
  <si>
    <t>c(1523956.03</t>
  </si>
  <si>
    <t xml:space="preserve"> 5441071.37)</t>
  </si>
  <si>
    <t>c(1535605.553</t>
  </si>
  <si>
    <t xml:space="preserve"> 5446148.715)</t>
  </si>
  <si>
    <t>14_ricardo</t>
  </si>
  <si>
    <t>c(1535629.053</t>
  </si>
  <si>
    <t xml:space="preserve"> 5446163.927)</t>
  </si>
  <si>
    <t>c(1535617.695</t>
  </si>
  <si>
    <t xml:space="preserve"> 5446159.429)</t>
  </si>
  <si>
    <t>c(1523959.41</t>
  </si>
  <si>
    <t xml:space="preserve"> 5441078.578)</t>
  </si>
  <si>
    <t>c(1535615.135</t>
  </si>
  <si>
    <t xml:space="preserve"> 5446185.429)</t>
  </si>
  <si>
    <t>Muy buena. Bastante niene en el faldeo del CAB</t>
  </si>
  <si>
    <t>Mallin de Ricardo</t>
  </si>
  <si>
    <t>15_ricardo</t>
  </si>
  <si>
    <t>c(1535617.163</t>
  </si>
  <si>
    <t xml:space="preserve"> 5446187.973)</t>
  </si>
  <si>
    <t>c(1535613.29</t>
  </si>
  <si>
    <t xml:space="preserve"> 5446168.668)</t>
  </si>
  <si>
    <t>FATMAP</t>
  </si>
  <si>
    <t>c(1523963.628</t>
  </si>
  <si>
    <t xml:space="preserve"> 5441085.56)</t>
  </si>
  <si>
    <t>c(1535611.17</t>
  </si>
  <si>
    <t xml:space="preserve"> 5446164.236)</t>
  </si>
  <si>
    <t>16_ricardo</t>
  </si>
  <si>
    <t>c(1535569.341</t>
  </si>
  <si>
    <t xml:space="preserve"> 5446143.893)</t>
  </si>
  <si>
    <t>c(1535522.549</t>
  </si>
  <si>
    <t>Nuestra experiencia comenzÃ³ de una manera maravillosa. El camino esta muy hermoso con todos los paisajes distintos y el sendero por recorrer con diferentes desafÃ­os Â¡Una verdadera aventura! Cabe destacar que nos perdimos en el Bosque que se encuentra luego de la Laguna CAB, encontramos poca seÃ±alizaciÃ³n. Al llevar el track descargado pudimos retomar camino. Hicimos la TravesÃ­a mÃ¡s rÃ¡pido de lo planificado por el hecho que despertamos al tercer dÃ­a con humo en el Mallin de Mate Dulce. No sabÃ­amos de donde venÃ­a el fuego (caÃ­an cenizas) asique esperamos a que el Cerro se despejara del humo para continuar nuestro camino hacia CretÃ³n donde pudimos ver con claridad donde andaba el incendio.  Arriba dudamos si seguir por la salida de emergencia (Laguna Azul) o continuar por el camino hacia ILON. Luego de 10hs caminando llegamos al Refugio, donde nos informaron lo sucedido. AllÃ­ sin preguntarnos como nos sentÃ­amos fÃ­sica y/o mentalmente nos obligaron a seguir caminando, cuando nuestro cuerpo no podÃ­a mÃ¡s y que andaba oscureciendo. Estamos realmente muy enojados con lo sucedido por lo poco empÃ¡ticos que fueron con nosotros. Pasamos miedo, ansiedad y muchÃ­simo estrÃ©s. En Ilon el seÃ±or que parecÃ­a ser jefe nos mintiÃ³ en la cara diciendo que en Pampa Linda nos estaban esperando rescatistas y una camioneta que nos llevarÃ­a a Bariloche. Para nuestra sorpresa, cuando llegamos a Pampa Linda nadie nos estaba esperando. La gente del camping agreste  fue muy amable y me contuvo. VolverÃ© a hacer la travesÃ­a con tiempo y para poder disfrutar del camino. A ese seÃ±or del Refugio Ilon le falta respeto, empatÃ­a y humanidad. Saludos!</t>
  </si>
  <si>
    <t xml:space="preserve"> 5446156.337)</t>
  </si>
  <si>
    <t>c(1523965.334</t>
  </si>
  <si>
    <t xml:space="preserve"> 5441093.884)</t>
  </si>
  <si>
    <t>c(1535612.144</t>
  </si>
  <si>
    <t xml:space="preserve"> 5446191.885)</t>
  </si>
  <si>
    <t>c(1535530.45</t>
  </si>
  <si>
    <t xml:space="preserve"> 5446157.965)</t>
  </si>
  <si>
    <t>1_ilon1</t>
  </si>
  <si>
    <t>villaballester</t>
  </si>
  <si>
    <t>c(1535550.589</t>
  </si>
  <si>
    <t xml:space="preserve"> 5446155.535)</t>
  </si>
  <si>
    <t>c(1535572.318</t>
  </si>
  <si>
    <t xml:space="preserve"> 5446134.55)</t>
  </si>
  <si>
    <t>c(1522443.533</t>
  </si>
  <si>
    <t xml:space="preserve"> 5440535.542)</t>
  </si>
  <si>
    <t>2_ilon1</t>
  </si>
  <si>
    <t>c(1535588.533</t>
  </si>
  <si>
    <t xml:space="preserve"> 5446119.367)</t>
  </si>
  <si>
    <t>c(1522448.095</t>
  </si>
  <si>
    <t xml:space="preserve"> 5440545.968)</t>
  </si>
  <si>
    <t>Gran desafÃ­o FÃ­sico y mental por sobre todas las cosas. Una experiencia unica que me gustaria repetÃ­r.</t>
  </si>
  <si>
    <t>c(1535589.707</t>
  </si>
  <si>
    <t xml:space="preserve"> 5446153.568)</t>
  </si>
  <si>
    <t>3_ilon1</t>
  </si>
  <si>
    <t>c(1535614.745</t>
  </si>
  <si>
    <t xml:space="preserve"> 5446191.539)</t>
  </si>
  <si>
    <t>c(1522449.372</t>
  </si>
  <si>
    <t xml:space="preserve"> 5440551.961)</t>
  </si>
  <si>
    <t>c(1535584.611</t>
  </si>
  <si>
    <t xml:space="preserve"> 5446158.812)</t>
  </si>
  <si>
    <t>4_ilon1</t>
  </si>
  <si>
    <t>c(1535605.069</t>
  </si>
  <si>
    <t xml:space="preserve"> 5446152.826)</t>
  </si>
  <si>
    <t>c(1535535.29</t>
  </si>
  <si>
    <t>c(1522449.324</t>
  </si>
  <si>
    <t xml:space="preserve"> 5446171.718)</t>
  </si>
  <si>
    <t xml:space="preserve"> 5440563.511)</t>
  </si>
  <si>
    <t xml:space="preserve">Fue una experiencia adrenalitica!!siempre cuidamos de llevarnos los residuos y ademas usamos un cacatubo para las eses!! MuchÃ­simos baÃ±os cerca de las corrientes de agua , no entierran nada espantoso..
Saludos cordiales Andrea </t>
  </si>
  <si>
    <t>c(1535629.292</t>
  </si>
  <si>
    <t>5_ilon1</t>
  </si>
  <si>
    <t xml:space="preserve"> 5446178.585)</t>
  </si>
  <si>
    <t>c(1526771.549</t>
  </si>
  <si>
    <t>c(1522455.859</t>
  </si>
  <si>
    <t xml:space="preserve"> 5438110.85)</t>
  </si>
  <si>
    <t xml:space="preserve"> 5440560.493)</t>
  </si>
  <si>
    <t>c(1526777.167</t>
  </si>
  <si>
    <t xml:space="preserve"> 5438110.719)</t>
  </si>
  <si>
    <t>6_ilon1</t>
  </si>
  <si>
    <t>c(1526780.937</t>
  </si>
  <si>
    <t xml:space="preserve"> 5438109.372)</t>
  </si>
  <si>
    <t>c(1526876.074</t>
  </si>
  <si>
    <t>c(1522457.645</t>
  </si>
  <si>
    <t xml:space="preserve"> 5438117.241)</t>
  </si>
  <si>
    <t xml:space="preserve"> 5440568.595)</t>
  </si>
  <si>
    <t>c(1526879.923</t>
  </si>
  <si>
    <t xml:space="preserve"> 5438114.783)</t>
  </si>
  <si>
    <t>c(1526920.53</t>
  </si>
  <si>
    <t xml:space="preserve"> 5438118.409)</t>
  </si>
  <si>
    <t>7_ilon1</t>
  </si>
  <si>
    <t>c(1526947.077</t>
  </si>
  <si>
    <t xml:space="preserve"> 5438107.872)</t>
  </si>
  <si>
    <t>momento Ã©pico: atardecer en la mirada del doctor.</t>
  </si>
  <si>
    <t>c(1526955.994</t>
  </si>
  <si>
    <t>c(1522471.194</t>
  </si>
  <si>
    <t xml:space="preserve"> 5438137.825)</t>
  </si>
  <si>
    <t xml:space="preserve"> 5440581.769)</t>
  </si>
  <si>
    <t>c(1526957.178</t>
  </si>
  <si>
    <t xml:space="preserve"> 5438140.486)</t>
  </si>
  <si>
    <t>c(1526961.291</t>
  </si>
  <si>
    <t xml:space="preserve"> 5438141.359)</t>
  </si>
  <si>
    <t>8_ilon1</t>
  </si>
  <si>
    <t>c(1526734.403</t>
  </si>
  <si>
    <t xml:space="preserve"> 5438113.208)</t>
  </si>
  <si>
    <t>c(1522466.84</t>
  </si>
  <si>
    <t xml:space="preserve"> 5440584.892)</t>
  </si>
  <si>
    <t>c(1526750.566</t>
  </si>
  <si>
    <t xml:space="preserve"> 5438129.474)</t>
  </si>
  <si>
    <t>9_ilon1</t>
  </si>
  <si>
    <t>c(1526724.456</t>
  </si>
  <si>
    <t xml:space="preserve"> 5438145.23)</t>
  </si>
  <si>
    <t>c(1526728.614</t>
  </si>
  <si>
    <t xml:space="preserve"> 5438135.441)</t>
  </si>
  <si>
    <t>c(1522469.725</t>
  </si>
  <si>
    <t xml:space="preserve"> 5440595.323)</t>
  </si>
  <si>
    <t>c(1526730.744</t>
  </si>
  <si>
    <t xml:space="preserve"> 5438144.762)</t>
  </si>
  <si>
    <t>10_ilon1</t>
  </si>
  <si>
    <t>c(1526750.976</t>
  </si>
  <si>
    <t>Lo mejor es que es un lugar con poca gente, aun se puede acampar gratis, cada vez es mas dificil hacer trekking sin tener que pagar los acampes, ya no hay casi lugares donde ir. EstarÃ­a buenÃ­simo que Parques gestione mas lugares de acampe libre para que no se vuelva una actividad elitista y discriminadora. Ya no se puede ir a ningun lado si uno no tiene como pagar los acampes!!!</t>
  </si>
  <si>
    <t xml:space="preserve"> 5438127.03)</t>
  </si>
  <si>
    <t>c(1526748.371</t>
  </si>
  <si>
    <t xml:space="preserve"> 5438125.595)</t>
  </si>
  <si>
    <t>c(1526749.605</t>
  </si>
  <si>
    <t xml:space="preserve"> 5438119.149)</t>
  </si>
  <si>
    <t>c(1526745.088</t>
  </si>
  <si>
    <t xml:space="preserve"> 5438122.276)</t>
  </si>
  <si>
    <t>c(1526737.184</t>
  </si>
  <si>
    <t xml:space="preserve"> 5438116.974)</t>
  </si>
  <si>
    <t>c(1535572.441</t>
  </si>
  <si>
    <t xml:space="preserve"> 5444926.498)</t>
  </si>
  <si>
    <t>c(1522471.228</t>
  </si>
  <si>
    <t xml:space="preserve"> 5440593.097)</t>
  </si>
  <si>
    <t>c(1535282.497</t>
  </si>
  <si>
    <t xml:space="preserve"> 5444487.958)</t>
  </si>
  <si>
    <t>1_ilon2</t>
  </si>
  <si>
    <t>c(1535262.161</t>
  </si>
  <si>
    <t xml:space="preserve"> 5444468.386)</t>
  </si>
  <si>
    <t>Fue una travesÃ­a muy linda, sin percances y con buen clima. Ideal para disfrutar</t>
  </si>
  <si>
    <t>c(1535243.209</t>
  </si>
  <si>
    <t>c(1522684.994</t>
  </si>
  <si>
    <t xml:space="preserve"> 5444523.564)</t>
  </si>
  <si>
    <t xml:space="preserve"> 5440186.294)</t>
  </si>
  <si>
    <t>2_ilon2</t>
  </si>
  <si>
    <t>navidad1</t>
  </si>
  <si>
    <t xml:space="preserve">Segunda vez </t>
  </si>
  <si>
    <t>c(1535326.46</t>
  </si>
  <si>
    <t>launion</t>
  </si>
  <si>
    <t xml:space="preserve"> 5444552.133)</t>
  </si>
  <si>
    <t>c(1522688.905</t>
  </si>
  <si>
    <t xml:space="preserve"> 5440175.953)</t>
  </si>
  <si>
    <t>Segunda vez</t>
  </si>
  <si>
    <t>c(1535324.843</t>
  </si>
  <si>
    <t xml:space="preserve"> 5444542.192)</t>
  </si>
  <si>
    <t>3_ilon2</t>
  </si>
  <si>
    <t xml:space="preserve">Relive </t>
  </si>
  <si>
    <t>c(1535345.293</t>
  </si>
  <si>
    <t xml:space="preserve"> 5444537.798)</t>
  </si>
  <si>
    <t>c(1522693.854</t>
  </si>
  <si>
    <t xml:space="preserve"> 5440175.493)</t>
  </si>
  <si>
    <t>4_ilon2</t>
  </si>
  <si>
    <t>c(1535359.702</t>
  </si>
  <si>
    <t xml:space="preserve">Los paisajes
</t>
  </si>
  <si>
    <t xml:space="preserve"> 5444603.523)</t>
  </si>
  <si>
    <t>c(1522696.432</t>
  </si>
  <si>
    <t xml:space="preserve"> 5440168.377)</t>
  </si>
  <si>
    <t>c(1535387.882</t>
  </si>
  <si>
    <t xml:space="preserve"> 5444631.95)</t>
  </si>
  <si>
    <t>5_ilon2</t>
  </si>
  <si>
    <t>c(1535515.549</t>
  </si>
  <si>
    <t xml:space="preserve"> 5444759.496)</t>
  </si>
  <si>
    <t>c(1522696.681</t>
  </si>
  <si>
    <t xml:space="preserve"> 5440167.599)</t>
  </si>
  <si>
    <t>c(1535515.036</t>
  </si>
  <si>
    <t xml:space="preserve"> 5444761.32)</t>
  </si>
  <si>
    <t>navidad</t>
  </si>
  <si>
    <t>c(1535572.896</t>
  </si>
  <si>
    <t xml:space="preserve"> 5444925.938)</t>
  </si>
  <si>
    <t>6_ilon2</t>
  </si>
  <si>
    <t>rucaco</t>
  </si>
  <si>
    <t>c(1540611.385</t>
  </si>
  <si>
    <t xml:space="preserve"> 5440510.057)</t>
  </si>
  <si>
    <t>c(1540616.866</t>
  </si>
  <si>
    <t>c(1522705.993</t>
  </si>
  <si>
    <t xml:space="preserve"> 5440519.358)</t>
  </si>
  <si>
    <t xml:space="preserve"> 5440167.459)</t>
  </si>
  <si>
    <t xml:space="preserve">Todo perfecto. Laguja creton hermosa con mucho silencio. </t>
  </si>
  <si>
    <t>7_ilon2</t>
  </si>
  <si>
    <t>c(1540631.048</t>
  </si>
  <si>
    <t xml:space="preserve"> 5440515.689)</t>
  </si>
  <si>
    <t>c(1540625.558</t>
  </si>
  <si>
    <t xml:space="preserve"> 5440477.214)</t>
  </si>
  <si>
    <t>c(1540620.4</t>
  </si>
  <si>
    <t xml:space="preserve"> 5440485.84)</t>
  </si>
  <si>
    <t>c(1522707.65</t>
  </si>
  <si>
    <t xml:space="preserve"> 5440160.902)</t>
  </si>
  <si>
    <t>rucaco2</t>
  </si>
  <si>
    <t>c(1540754.789</t>
  </si>
  <si>
    <t>8_ilon2</t>
  </si>
  <si>
    <t xml:space="preserve"> 5440499.831)</t>
  </si>
  <si>
    <t>c(1540744.257</t>
  </si>
  <si>
    <t xml:space="preserve"> 5440500.291)</t>
  </si>
  <si>
    <t>c(1540733.792</t>
  </si>
  <si>
    <t xml:space="preserve"> 5440500.124)</t>
  </si>
  <si>
    <t>c(1540733.232</t>
  </si>
  <si>
    <t xml:space="preserve"> 5440487.366)</t>
  </si>
  <si>
    <t>c(1522709.407</t>
  </si>
  <si>
    <t xml:space="preserve"> 5440159.119)</t>
  </si>
  <si>
    <t>9_ilon2</t>
  </si>
  <si>
    <t>c(1540741.574</t>
  </si>
  <si>
    <t xml:space="preserve"> 5440481.598)</t>
  </si>
  <si>
    <t>c(1540749.55</t>
  </si>
  <si>
    <t xml:space="preserve"> 5440488.52)</t>
  </si>
  <si>
    <t>c(1540741.194</t>
  </si>
  <si>
    <t xml:space="preserve"> 5440493.974)</t>
  </si>
  <si>
    <t>Compartir la experiencia de la naturaleza con amigxs</t>
  </si>
  <si>
    <t>polonia</t>
  </si>
  <si>
    <t>c(1540789.67</t>
  </si>
  <si>
    <t xml:space="preserve"> 5440499.507)</t>
  </si>
  <si>
    <t>Paisajes</t>
  </si>
  <si>
    <t>c(1522714.176</t>
  </si>
  <si>
    <t xml:space="preserve"> 5440155.217)</t>
  </si>
  <si>
    <t>c(1540799.496</t>
  </si>
  <si>
    <t xml:space="preserve"> 5440501.423)</t>
  </si>
  <si>
    <t>curitiba</t>
  </si>
  <si>
    <t>parana</t>
  </si>
  <si>
    <t>brasil</t>
  </si>
  <si>
    <t>10_ilon2</t>
  </si>
  <si>
    <t>rucaco3</t>
  </si>
  <si>
    <t>c(1540693.41</t>
  </si>
  <si>
    <t xml:space="preserve"> 5440504.818)</t>
  </si>
  <si>
    <t>c(1522715.984</t>
  </si>
  <si>
    <t xml:space="preserve"> 5440142.995)</t>
  </si>
  <si>
    <t>c(1540678.33</t>
  </si>
  <si>
    <t xml:space="preserve"> 5440515.032)</t>
  </si>
  <si>
    <t>11_ilon2</t>
  </si>
  <si>
    <t>c(1540677.754</t>
  </si>
  <si>
    <t xml:space="preserve"> 5440501.898)</t>
  </si>
  <si>
    <t>A descida do cerro cristal foi desafiadora.</t>
  </si>
  <si>
    <t>c(1522717.228</t>
  </si>
  <si>
    <t xml:space="preserve"> 5440138.438)</t>
  </si>
  <si>
    <t>12_ilon2</t>
  </si>
  <si>
    <t>c(1522710.936</t>
  </si>
  <si>
    <t>c(1540684.688</t>
  </si>
  <si>
    <t xml:space="preserve"> 5440138.235)</t>
  </si>
  <si>
    <t xml:space="preserve"> 5440452.388)</t>
  </si>
  <si>
    <t>13_ilon2</t>
  </si>
  <si>
    <t>AllTrails</t>
  </si>
  <si>
    <t>c(1522722.988</t>
  </si>
  <si>
    <t xml:space="preserve"> 5440129.313)</t>
  </si>
  <si>
    <t>rucaco4</t>
  </si>
  <si>
    <t>c(1540235.909</t>
  </si>
  <si>
    <t xml:space="preserve"> 5440453.162)</t>
  </si>
  <si>
    <t>c(1540257.038</t>
  </si>
  <si>
    <t>14_ilon2</t>
  </si>
  <si>
    <t xml:space="preserve"> 5440451.396)</t>
  </si>
  <si>
    <t>c(1522724.25</t>
  </si>
  <si>
    <t xml:space="preserve"> 5440130.42)</t>
  </si>
  <si>
    <t>.</t>
  </si>
  <si>
    <t>15_ilon2</t>
  </si>
  <si>
    <t>c(1522726.424</t>
  </si>
  <si>
    <t xml:space="preserve"> 5440127.859)</t>
  </si>
  <si>
    <t>c(1540263.025</t>
  </si>
  <si>
    <t>Impacto veg1</t>
  </si>
  <si>
    <t>1_navidad1</t>
  </si>
  <si>
    <t xml:space="preserve"> 5440459.656)</t>
  </si>
  <si>
    <t>c(1540273.469</t>
  </si>
  <si>
    <t xml:space="preserve"> 5440459.815)</t>
  </si>
  <si>
    <t>c(1540284.529</t>
  </si>
  <si>
    <t xml:space="preserve"> 5440452.537)</t>
  </si>
  <si>
    <t>Impacto 2</t>
  </si>
  <si>
    <t>2_navidad1</t>
  </si>
  <si>
    <t>c(1540295.675</t>
  </si>
  <si>
    <t xml:space="preserve"> 5440445.708)</t>
  </si>
  <si>
    <t xml:space="preserve">La cima del cristales y del cerro capitÃ¡n. FantÃ¡stico </t>
  </si>
  <si>
    <t>c(1540267.591</t>
  </si>
  <si>
    <t xml:space="preserve"> 5440410.883)</t>
  </si>
  <si>
    <t>c(1540257.828</t>
  </si>
  <si>
    <t xml:space="preserve"> 5440413.389)</t>
  </si>
  <si>
    <t>c(1535240.918</t>
  </si>
  <si>
    <t xml:space="preserve"> 5444518.133)</t>
  </si>
  <si>
    <t>Impacto 3</t>
  </si>
  <si>
    <t>3_navidad1</t>
  </si>
  <si>
    <t>c(1540256.157</t>
  </si>
  <si>
    <t xml:space="preserve"> 5440423.992)</t>
  </si>
  <si>
    <t>El momento mas lindo de la travesÃ­a fue llegar a alguna CAB al atardecer, hermoso paisaje. Un momento Ã©pico y desafiante fue caminar por el cerro CapitÃ¡n desde laguna CretÃ³n, en medio de la neblina y la lluvia suave, a pesar de que no se pudieron apreciar las lagunas  Calvu ni Jujuy.</t>
  </si>
  <si>
    <t>c(1535241.345</t>
  </si>
  <si>
    <t xml:space="preserve"> 5444502.05)</t>
  </si>
  <si>
    <t>c(1540253.474</t>
  </si>
  <si>
    <t xml:space="preserve"> 5440436.19)</t>
  </si>
  <si>
    <t>Impacto4</t>
  </si>
  <si>
    <t>4_navidad1</t>
  </si>
  <si>
    <t>c(1540247.032</t>
  </si>
  <si>
    <t xml:space="preserve"> 5440444.362)</t>
  </si>
  <si>
    <t>c(1535240.296</t>
  </si>
  <si>
    <t xml:space="preserve"> 5444502.401)</t>
  </si>
  <si>
    <t>Impacto 5</t>
  </si>
  <si>
    <t>c(1540258.988</t>
  </si>
  <si>
    <t>5_navidad1</t>
  </si>
  <si>
    <t xml:space="preserve"> 5440448.155)</t>
  </si>
  <si>
    <t>El mejor momento fue una vez en el filo del cerro cristal cuando de repente me encuentro con la vista imponente del tronador.</t>
  </si>
  <si>
    <t>c(1540268.468</t>
  </si>
  <si>
    <t xml:space="preserve"> 5440443.594)</t>
  </si>
  <si>
    <t>c(1540293.374</t>
  </si>
  <si>
    <t xml:space="preserve"> 5440434.224)</t>
  </si>
  <si>
    <t>c(1535231.987</t>
  </si>
  <si>
    <t xml:space="preserve"> 5444508.273)</t>
  </si>
  <si>
    <t>Impacto1</t>
  </si>
  <si>
    <t>1_navidad2</t>
  </si>
  <si>
    <t>c(1540298.665</t>
  </si>
  <si>
    <t xml:space="preserve"> 5440443.264)</t>
  </si>
  <si>
    <t>c(1540309.592</t>
  </si>
  <si>
    <t xml:space="preserve"> 5440444.752)</t>
  </si>
  <si>
    <t>c(1540310.547</t>
  </si>
  <si>
    <t xml:space="preserve"> 5440455.269)</t>
  </si>
  <si>
    <t>c(1540316.27</t>
  </si>
  <si>
    <t xml:space="preserve"> 5440464.723)</t>
  </si>
  <si>
    <t>c(1535680.074</t>
  </si>
  <si>
    <t xml:space="preserve"> 5445143.841)</t>
  </si>
  <si>
    <t>campanile1</t>
  </si>
  <si>
    <t>c(1542758.583</t>
  </si>
  <si>
    <t xml:space="preserve"> 5438280.324)</t>
  </si>
  <si>
    <t>c(1542768.339</t>
  </si>
  <si>
    <t xml:space="preserve"> 5438283.716)</t>
  </si>
  <si>
    <t>2_navidad2</t>
  </si>
  <si>
    <t>c(1543053.04</t>
  </si>
  <si>
    <t xml:space="preserve"> 5438240.386)</t>
  </si>
  <si>
    <t>c(1543049.185</t>
  </si>
  <si>
    <t xml:space="preserve"> 5438263.493)</t>
  </si>
  <si>
    <t>c(1535682.908</t>
  </si>
  <si>
    <t xml:space="preserve"> 5445143.336)</t>
  </si>
  <si>
    <t>c(1543043.332</t>
  </si>
  <si>
    <t>3_navidad2</t>
  </si>
  <si>
    <t>La vista desde el cerro cristal y la laguna azul.</t>
  </si>
  <si>
    <t xml:space="preserve"> 5438254.904)</t>
  </si>
  <si>
    <t>c(1535667.398</t>
  </si>
  <si>
    <t xml:space="preserve"> 5445134.683)</t>
  </si>
  <si>
    <t>Impacto 4</t>
  </si>
  <si>
    <t>4_navidad2</t>
  </si>
  <si>
    <t>c(1543050.801</t>
  </si>
  <si>
    <t xml:space="preserve"> 5438256.162)</t>
  </si>
  <si>
    <t>c(1535679.103</t>
  </si>
  <si>
    <t xml:space="preserve"> 5445133.586)</t>
  </si>
  <si>
    <t>c(1543061.271</t>
  </si>
  <si>
    <t>Impacto5</t>
  </si>
  <si>
    <t xml:space="preserve"> 5438252.168)</t>
  </si>
  <si>
    <t>c(1543071.577</t>
  </si>
  <si>
    <t xml:space="preserve"> 5438247.743)</t>
  </si>
  <si>
    <t>villalaangostura</t>
  </si>
  <si>
    <t>5_navidad2</t>
  </si>
  <si>
    <t>c(1543068.389</t>
  </si>
  <si>
    <t>c(1535684.186</t>
  </si>
  <si>
    <t xml:space="preserve"> 5438238.182)</t>
  </si>
  <si>
    <t xml:space="preserve"> 5445130.563)</t>
  </si>
  <si>
    <t>arroyo rucaco senda 1</t>
  </si>
  <si>
    <t>1_rucaco1</t>
  </si>
  <si>
    <t>rucaco1</t>
  </si>
  <si>
    <t>c(1540286.686</t>
  </si>
  <si>
    <t xml:space="preserve"> 5440422.411)</t>
  </si>
  <si>
    <t>campanile2</t>
  </si>
  <si>
    <t>c(1542723.627</t>
  </si>
  <si>
    <t xml:space="preserve"> 5438272.08)</t>
  </si>
  <si>
    <t>c(1542733.693</t>
  </si>
  <si>
    <t xml:space="preserve"> 5438263.41)</t>
  </si>
  <si>
    <t>c(1542740.79</t>
  </si>
  <si>
    <t xml:space="preserve"> 5438273.781)</t>
  </si>
  <si>
    <t xml:space="preserve">EL TERCER DIA A LAGUNA CRETON FUE INCREIBLE, PAISAJES MUY VARIADOS </t>
  </si>
  <si>
    <t>c(1542734.693</t>
  </si>
  <si>
    <t xml:space="preserve"> 5438282.558)</t>
  </si>
  <si>
    <t>plottier</t>
  </si>
  <si>
    <t>c(1542725.413</t>
  </si>
  <si>
    <t xml:space="preserve"> 5438273.345)</t>
  </si>
  <si>
    <t>c(1542733.663</t>
  </si>
  <si>
    <t xml:space="preserve"> 5438279.364)</t>
  </si>
  <si>
    <t>2_rucaco1</t>
  </si>
  <si>
    <t>c(1542746.27</t>
  </si>
  <si>
    <t xml:space="preserve"> 5438276.728)</t>
  </si>
  <si>
    <t>Pasar cerro cristal y llegar a laguna Creton. Fue muy difÃ­cil la baja hacia la luguna</t>
  </si>
  <si>
    <t>c(1540266.139</t>
  </si>
  <si>
    <t xml:space="preserve"> 5440426.988)</t>
  </si>
  <si>
    <t>3_rucaco1</t>
  </si>
  <si>
    <t>sanmartindelosandes</t>
  </si>
  <si>
    <t>c(1542748.447</t>
  </si>
  <si>
    <t xml:space="preserve"> 5438281.443)</t>
  </si>
  <si>
    <t>c(1540256.016</t>
  </si>
  <si>
    <t xml:space="preserve"> 5440431.116)</t>
  </si>
  <si>
    <t>llum</t>
  </si>
  <si>
    <t>c(1538525.007</t>
  </si>
  <si>
    <t xml:space="preserve"> 5427311.611)</t>
  </si>
  <si>
    <t>4_rucaco1</t>
  </si>
  <si>
    <t>gps</t>
  </si>
  <si>
    <t>5_rucaco1</t>
  </si>
  <si>
    <t>c(1538518.219</t>
  </si>
  <si>
    <t xml:space="preserve"> 5427300.959)</t>
  </si>
  <si>
    <t>c(1538522.669</t>
  </si>
  <si>
    <t xml:space="preserve"> 5427283.531)</t>
  </si>
  <si>
    <t>c(1540254.443</t>
  </si>
  <si>
    <t xml:space="preserve"> 5440430.628)</t>
  </si>
  <si>
    <t>c(1536786.996</t>
  </si>
  <si>
    <t xml:space="preserve"> 5440573.332)</t>
  </si>
  <si>
    <t xml:space="preserve">La noche del miÃ©rcoles 27 de Marzo observÃ© por un breve tiempo luciÃ©rnagas en la zona de acampe de Laguna Negra, las cuales he podido avistar muy pocas veces en lagunas de la Patagonia, una hermosa experiencia. 
La travesÃ­a es un trayecto muy lindo y disfrutable. El Tronador es excepcionalmente impresionante y se valora la trabajo de las personas que hacen posible la existencia de esta travesÃ­a. 
Creo que se deberÃ­a trabajar en reponer la cartelerÃ­a ya desgastada y sumar nueva cartelerÃ­a informativa con respecto a la prohibiciÃ³n del fuego y del uso responsable del agua (con respecto al lavado de utensilios y ropa) en los cursos de agua.
</t>
  </si>
  <si>
    <t>6_rucaco1</t>
  </si>
  <si>
    <t>c(1536787.263</t>
  </si>
  <si>
    <t xml:space="preserve"> 5440580.403)</t>
  </si>
  <si>
    <t>c(1540244.959</t>
  </si>
  <si>
    <t xml:space="preserve"> 5440422.472)</t>
  </si>
  <si>
    <t>c(1536775.122</t>
  </si>
  <si>
    <t xml:space="preserve"> 5440578.936)</t>
  </si>
  <si>
    <t>comodororivadavia</t>
  </si>
  <si>
    <t>7_rucaco1</t>
  </si>
  <si>
    <t>chubut</t>
  </si>
  <si>
    <t>c(1536775.389</t>
  </si>
  <si>
    <t xml:space="preserve"> 5440561.191)</t>
  </si>
  <si>
    <t>c(1536783.794</t>
  </si>
  <si>
    <t xml:space="preserve"> 5440552.519)</t>
  </si>
  <si>
    <t>c(1540247.348</t>
  </si>
  <si>
    <t xml:space="preserve"> 5440416.108)</t>
  </si>
  <si>
    <t>acampe incipiente senda 1</t>
  </si>
  <si>
    <t>1_rucaco2</t>
  </si>
  <si>
    <t>c(1536768.318</t>
  </si>
  <si>
    <t xml:space="preserve"> 5440544.248)</t>
  </si>
  <si>
    <t>c(1540673.696</t>
  </si>
  <si>
    <t xml:space="preserve"> 5440491.346)</t>
  </si>
  <si>
    <t>2_rucaco2</t>
  </si>
  <si>
    <t>c(1536763.515</t>
  </si>
  <si>
    <t xml:space="preserve"> 5440554.654)</t>
  </si>
  <si>
    <t>SeÃ±alizaciÃ³n: mala seÃ±alizaciÃ³n entre Laguna Negra y Mallin de Ricardo. Depende de pircas y marcas borrosas. En zonas de descenso en zonas de acarreo estÃ¡ falta de seÃ±alizaciÃ³n puede resultar peligrosa.
Senderos: luego del arroyo Lluvuco es pÃ©simo el sendero sin mantenimiento y con riesgo de perderse. Descargamos los tracks de web Bariloche Trekking, el inicio de tramo CAB - CretÃ³n luego de cruzar la Laguna, segÃºn track atraviesa bosque. En la prÃ¡ctica resulta imposible seguir la huella â€œoficial y habilitadaâ€_x009d_ y terminamos, luego de perder mucho tiempo, utilizado track de app MAPS.ME.
Adicionalmente no hay informaciÃ³n explÃ­cita del vadeo de la Laguna CAB para llegar a la zona de ascenso al cerro CAB.</t>
  </si>
  <si>
    <t>3_rucaco2</t>
  </si>
  <si>
    <t>La habÃ­a realizado en el 2018</t>
  </si>
  <si>
    <t>c(1540692.858</t>
  </si>
  <si>
    <t xml:space="preserve"> 5440461.115)</t>
  </si>
  <si>
    <t>La hice en el 2018</t>
  </si>
  <si>
    <t>4_rucaco2</t>
  </si>
  <si>
    <t>c(1536748.172</t>
  </si>
  <si>
    <t xml:space="preserve"> 5440548.383)</t>
  </si>
  <si>
    <t>Esta vez la travesÃ­a la hice hasta la laguna CAB, desde Bariloche, para hacer cumbre en el cerro CAB. Luego cresteÃ© un poco hacia el oeste, hasta ver la punta del brazo Tristeza, donde tambiÃ©n pude observar la parte del incendio reciente que quemÃ³ los bosques de lengas en las laderas del cerro CapitÃ¡n y Cristales. Tengo varias fotos, y si les interesa se las envÃ­o. Por otro lado me llamÃ³ la atenciÃ³n la cantidad de gente haciendo la travesÃ­a, ya que el sÃ¡bado santo Ã©ramos mas de 30 durmiendo del lado del mallin de la laguna CAB. Esa noche nadie hizo fuego, pero habÃ­a muchos fogones usados relativamente hace poco. TambiÃ©n me sorprende que no haya una senda en estado para no vadear la laguna. Y al comienzo de la laguna hay una bolsa de casa Palm que habrÃ¡ traÃ­do un helicÃ³ptero, y no mirÃ© quÃ© tenÃ­a, pero estaba al menos un tercio llena. La bajada desde Bailey Willis al arroyo de la Chata tiene muchos atajos que estÃ¡n mÃ¡s marcados que la senda</t>
  </si>
  <si>
    <t>c(1536745.104</t>
  </si>
  <si>
    <t xml:space="preserve"> 5440537.31)</t>
  </si>
  <si>
    <t>c(1536726.126</t>
  </si>
  <si>
    <t xml:space="preserve"> 5440520.033)</t>
  </si>
  <si>
    <t>5_rucaco2</t>
  </si>
  <si>
    <t>c(1536747.472</t>
  </si>
  <si>
    <t xml:space="preserve"> 5440591.01)</t>
  </si>
  <si>
    <t>hurlingham</t>
  </si>
  <si>
    <t>c(1536793.5</t>
  </si>
  <si>
    <t>c(1540689.902</t>
  </si>
  <si>
    <t xml:space="preserve"> 5440567.929)</t>
  </si>
  <si>
    <t xml:space="preserve"> 5440442.822)</t>
  </si>
  <si>
    <t>c(1536745.204</t>
  </si>
  <si>
    <t>6_rucaco2</t>
  </si>
  <si>
    <t xml:space="preserve"> 5440600.616)</t>
  </si>
  <si>
    <t>c(1536733.73</t>
  </si>
  <si>
    <t xml:space="preserve"> 5440628.9)</t>
  </si>
  <si>
    <t>c(1536741.735</t>
  </si>
  <si>
    <t xml:space="preserve"> 5440620.361)</t>
  </si>
  <si>
    <t>c(1536730.261</t>
  </si>
  <si>
    <t xml:space="preserve"> 5440617.826)</t>
  </si>
  <si>
    <t>7_rucaco2</t>
  </si>
  <si>
    <t>c(1536764.416</t>
  </si>
  <si>
    <t xml:space="preserve"> 5440592.077)</t>
  </si>
  <si>
    <t>El paso de altura de CretÃ³n a IlÃ³n con la tremenda vista del Tronador</t>
  </si>
  <si>
    <t>c(1536771.21909853</t>
  </si>
  <si>
    <t>c(1540692.064</t>
  </si>
  <si>
    <t xml:space="preserve"> 5440435.029)</t>
  </si>
  <si>
    <t xml:space="preserve"> 5440579.57332045)</t>
  </si>
  <si>
    <t>25 mar 2025 19:13:29 rucaco 3 senda 1</t>
  </si>
  <si>
    <t>1_rucaco3</t>
  </si>
  <si>
    <t>c(1536783.78641058</t>
  </si>
  <si>
    <t xml:space="preserve"> 5440577.9517318)</t>
  </si>
  <si>
    <t>sanmiguel</t>
  </si>
  <si>
    <t>c(1536725.20652057</t>
  </si>
  <si>
    <t xml:space="preserve"> 5440524.03390916)</t>
  </si>
  <si>
    <t>c(1540790.969</t>
  </si>
  <si>
    <t xml:space="preserve"> 5440501.414)</t>
  </si>
  <si>
    <t>c(1536767.57052407</t>
  </si>
  <si>
    <t xml:space="preserve"> 5440591.32983817)</t>
  </si>
  <si>
    <t>Komoot</t>
  </si>
  <si>
    <t>2_rucaco3</t>
  </si>
  <si>
    <t>c(1543114.687</t>
  </si>
  <si>
    <t xml:space="preserve"> 5439280.937)</t>
  </si>
  <si>
    <t>c(1543119.49</t>
  </si>
  <si>
    <t xml:space="preserve"> 5439290.543)</t>
  </si>
  <si>
    <t>c(1543125.494</t>
  </si>
  <si>
    <t xml:space="preserve"> 5439286.541)</t>
  </si>
  <si>
    <t>3_rucaco3</t>
  </si>
  <si>
    <t>c(1543130.43</t>
  </si>
  <si>
    <t xml:space="preserve"> 5439278.536)</t>
  </si>
  <si>
    <t>c(1543124.293</t>
  </si>
  <si>
    <t xml:space="preserve"> 5439277.335)</t>
  </si>
  <si>
    <t>La bajada del CAB y del Cristal deberian estar mejor seÃ±alizados, mucha pirca y poco puntos azules o rojos. Los senderos en mallines y en especial llegando a CAB tiene mucha falta de mantenimiento</t>
  </si>
  <si>
    <t>c(1543145.506</t>
  </si>
  <si>
    <t xml:space="preserve"> 5439287.075)</t>
  </si>
  <si>
    <t>4_rucaco3</t>
  </si>
  <si>
    <t>c(1543152.71</t>
  </si>
  <si>
    <t xml:space="preserve"> 5439293.345)</t>
  </si>
  <si>
    <t>c(1543161.783</t>
  </si>
  <si>
    <t xml:space="preserve"> 5439298.548)</t>
  </si>
  <si>
    <t>c(1540803.591</t>
  </si>
  <si>
    <t xml:space="preserve"> 5440513.38)</t>
  </si>
  <si>
    <t>Parada de ~4 min</t>
  </si>
  <si>
    <t>c(1543158.848</t>
  </si>
  <si>
    <t xml:space="preserve"> 5439302.551)</t>
  </si>
  <si>
    <t>5_rucaco3</t>
  </si>
  <si>
    <t>c(1543150.176</t>
  </si>
  <si>
    <t xml:space="preserve"> 5439301.617)</t>
  </si>
  <si>
    <t>c(1543155.379</t>
  </si>
  <si>
    <t xml:space="preserve"> 5439315.225)</t>
  </si>
  <si>
    <t>c(1543149.842</t>
  </si>
  <si>
    <t xml:space="preserve"> 5439320.162)</t>
  </si>
  <si>
    <t>c(1543138.168</t>
  </si>
  <si>
    <t xml:space="preserve"> 5439315.492)</t>
  </si>
  <si>
    <t xml:space="preserve">La subida a cerro cristal fue de lo mÃ¡s lindo, a nivel vistas, inmensidad, dificultad y cansancio. 
deberÃ­amos haber realizado una noche antes de subir a laguna cab, por que la subida antes de la laguna se hizo eterna y muy cansadora. Se podrÃ­a haber disfrutado un poco mÃ¡s si estÃ¡bamos descansados </t>
  </si>
  <si>
    <t>c(1543094.341</t>
  </si>
  <si>
    <t xml:space="preserve"> 5439281.071)</t>
  </si>
  <si>
    <t>6_rucaco3</t>
  </si>
  <si>
    <t>c(1543098.21</t>
  </si>
  <si>
    <t xml:space="preserve"> 5439292.411)</t>
  </si>
  <si>
    <t>mardelplata</t>
  </si>
  <si>
    <t>c(1540809.127</t>
  </si>
  <si>
    <t xml:space="preserve"> 5440521.985)</t>
  </si>
  <si>
    <t>en 15 aÃ±os es la 4ta vez que la realizo</t>
  </si>
  <si>
    <t>c(1543102.48</t>
  </si>
  <si>
    <t>p1</t>
  </si>
  <si>
    <t xml:space="preserve"> 5439299.215)</t>
  </si>
  <si>
    <t>1_campanile1</t>
  </si>
  <si>
    <t>c(1543095.942</t>
  </si>
  <si>
    <t xml:space="preserve"> 5439299.349)</t>
  </si>
  <si>
    <t>c(1543085.936</t>
  </si>
  <si>
    <t xml:space="preserve"> 5439288.809)</t>
  </si>
  <si>
    <t>c(1542729.941</t>
  </si>
  <si>
    <t xml:space="preserve"> 5438266.62)</t>
  </si>
  <si>
    <t>c(1543084.735</t>
  </si>
  <si>
    <t xml:space="preserve"> 5439294.813)</t>
  </si>
  <si>
    <t>p2</t>
  </si>
  <si>
    <t>2_campanile1</t>
  </si>
  <si>
    <t>c(1543085.536</t>
  </si>
  <si>
    <t xml:space="preserve"> 5439276.668)</t>
  </si>
  <si>
    <t>La travesia fue increible, con una ventana de clima privilegiada. El mejor lugar para acampar y pasar un rato es el mallin de las vueltas, donde estÃ¡ el tobogan de piedra que termina en un pileton. La seÃ±alizacion y el estado de la senda en general era bueno, el unico tramo con poco mantenimiento fue el tramo entre el arroyo la chata y laguna cab, la primer subida hasta salir del bosque tenÃ­a muchos arboles caidos y en partes era confusa. El resto se notaba que habian seÃ±alizado recientemente con marcas celestes o azules. Particularmente en la bajada del cristales podria mejorarse un poco ya que es un tramo exigente y dificil, ayudarÃ­a que haya mas marcas indicando los mejores pasos. El refugio Ilon y la calidez de su gente, mantiene el espiritu de refugio de montaÃ±a de hace unos aÃ±os, hospitalario y cÃ¡lido, antes de que el steel framing y la chapa convirtieran a Jakob por ej en un frio hostel centrico al pie de una laguna de altura. Felicito el trabajo de apertura de nueva senda para atravesar y salir del mallin de ricardo y los siguientes metros antes de ver la laguna Ilon. Los corrales armados para acampar en Jujuy son muy Ãºtiles, aunque no los usamos. A destacar: la cantidad de basura que habÃ­a en laguna CAB antes de vadearla, con banderas del trail de los filos y suciedad mas propia de corredores irrespetuosos que de amantes de la montaÃ±a y las travesias. Gracias!</t>
  </si>
  <si>
    <t>c(1543078.198</t>
  </si>
  <si>
    <t xml:space="preserve"> 5439312.824)</t>
  </si>
  <si>
    <t>c(1543067.391</t>
  </si>
  <si>
    <t xml:space="preserve"> 5439322.696)</t>
  </si>
  <si>
    <t>c(1542738.592</t>
  </si>
  <si>
    <t xml:space="preserve"> 5438263.1)</t>
  </si>
  <si>
    <t>c(1543072.061</t>
  </si>
  <si>
    <t xml:space="preserve"> 5439326.432)</t>
  </si>
  <si>
    <t>c(1543092.207</t>
  </si>
  <si>
    <t xml:space="preserve"> 5439325.098)</t>
  </si>
  <si>
    <t>p3</t>
  </si>
  <si>
    <t>c(1543092.073</t>
  </si>
  <si>
    <t xml:space="preserve"> 5439319.228)</t>
  </si>
  <si>
    <t>3_campanile1</t>
  </si>
  <si>
    <t>c(1543102.213</t>
  </si>
  <si>
    <t xml:space="preserve"> 5439323.497)</t>
  </si>
  <si>
    <t>c(1543107.416</t>
  </si>
  <si>
    <t xml:space="preserve"> 5439326.966)</t>
  </si>
  <si>
    <t>c(1542734.644</t>
  </si>
  <si>
    <t xml:space="preserve"> 5438261.142)</t>
  </si>
  <si>
    <t>c(1543090.872</t>
  </si>
  <si>
    <t xml:space="preserve"> 5439333.903)</t>
  </si>
  <si>
    <t>p4</t>
  </si>
  <si>
    <t>c(1543097.81</t>
  </si>
  <si>
    <t>4_campanile1</t>
  </si>
  <si>
    <t xml:space="preserve"> 5439335.771)</t>
  </si>
  <si>
    <t>c(1543116.088</t>
  </si>
  <si>
    <t xml:space="preserve"> 5439335.638)</t>
  </si>
  <si>
    <t>c(1542734.115</t>
  </si>
  <si>
    <t xml:space="preserve"> 5438260.727)</t>
  </si>
  <si>
    <t>c(1543100.745</t>
  </si>
  <si>
    <t xml:space="preserve"> 5439346.044)</t>
  </si>
  <si>
    <t>p5</t>
  </si>
  <si>
    <t>c(1543094.475</t>
  </si>
  <si>
    <t xml:space="preserve"> 5439339.507)</t>
  </si>
  <si>
    <t>5_campanile1</t>
  </si>
  <si>
    <t>c(1543109.15</t>
  </si>
  <si>
    <t>c(1543090.339</t>
  </si>
  <si>
    <t xml:space="preserve"> 5439346.444)</t>
  </si>
  <si>
    <t xml:space="preserve">yendo a CAB, el tramo de bosque despuÃ©s de cruzar el arroyo la chata, estÃ¡ muy destruÃ­do, casi no hay sendero (escombros de Ã¡rboles) esa parte fue muy difÃ­cil (fÃ­sica y mentalmente)
La bajada del cerro cristal, al final no fue tan complicada, y estaba bastante bien marcada y era relativamente corta :) </t>
  </si>
  <si>
    <t>p6</t>
  </si>
  <si>
    <t>c(1543123.426</t>
  </si>
  <si>
    <t>6_campanile1</t>
  </si>
  <si>
    <t xml:space="preserve"> 5439337.639)</t>
  </si>
  <si>
    <t>c(1534694.92042771</t>
  </si>
  <si>
    <t xml:space="preserve"> 5449065.5105722)</t>
  </si>
  <si>
    <t>c(1542732.973</t>
  </si>
  <si>
    <t xml:space="preserve"> 5438259.599)</t>
  </si>
  <si>
    <t>c(1534694.24574109</t>
  </si>
  <si>
    <t xml:space="preserve"> 5449066.65464036)</t>
  </si>
  <si>
    <t>p7</t>
  </si>
  <si>
    <t>c(1534699.83662764</t>
  </si>
  <si>
    <t xml:space="preserve"> 5449068.66910501)</t>
  </si>
  <si>
    <t>7_campanile1</t>
  </si>
  <si>
    <t>c(1534694.9208337</t>
  </si>
  <si>
    <t xml:space="preserve"> 5449081.18987011)</t>
  </si>
  <si>
    <t>c(1534706.53411069</t>
  </si>
  <si>
    <t xml:space="preserve"> 5449088.06155696)</t>
  </si>
  <si>
    <t>c(1542729.58</t>
  </si>
  <si>
    <t xml:space="preserve"> 5438258.251)</t>
  </si>
  <si>
    <t>c(1534704.53437454</t>
  </si>
  <si>
    <t xml:space="preserve"> 5449083.3288227)</t>
  </si>
  <si>
    <t>1_campanile2</t>
  </si>
  <si>
    <t>c(1534705.6636167</t>
  </si>
  <si>
    <t xml:space="preserve"> 5449082.39279322)</t>
  </si>
  <si>
    <t>c(1534737.11630809</t>
  </si>
  <si>
    <t>c(1543054.662</t>
  </si>
  <si>
    <t xml:space="preserve"> 5449062.85158709)</t>
  </si>
  <si>
    <t xml:space="preserve"> 5438262.225)</t>
  </si>
  <si>
    <t>c(1534735.15581307</t>
  </si>
  <si>
    <t xml:space="preserve"> 5449058.24861359)</t>
  </si>
  <si>
    <t>2_campanile2</t>
  </si>
  <si>
    <t>La subida desde Creton, primero pasando por laguna azul para luego cruzar el filo y ver de frente al tronador es impresionante</t>
  </si>
  <si>
    <t>c(1534746.9214497</t>
  </si>
  <si>
    <t xml:space="preserve"> 5449063.5957849)</t>
  </si>
  <si>
    <t>c(1534750.23950576</t>
  </si>
  <si>
    <t xml:space="preserve"> 5449063.45564617)</t>
  </si>
  <si>
    <t>c(1543053.958</t>
  </si>
  <si>
    <t xml:space="preserve"> 5438261.555)</t>
  </si>
  <si>
    <t>c(1534755.40475049</t>
  </si>
  <si>
    <t xml:space="preserve"> 5449060.85899568)</t>
  </si>
  <si>
    <t>3_campanile2</t>
  </si>
  <si>
    <t>c(1534752.59489283</t>
  </si>
  <si>
    <t xml:space="preserve"> 5449068.25553623)</t>
  </si>
  <si>
    <t>c(1534729.46567303</t>
  </si>
  <si>
    <t xml:space="preserve"> 5449136.80871803)</t>
  </si>
  <si>
    <t>c(1543053.921</t>
  </si>
  <si>
    <t xml:space="preserve"> 5438261.237)</t>
  </si>
  <si>
    <t>c(1534728.06385398</t>
  </si>
  <si>
    <t xml:space="preserve"> 5449135.88585435)</t>
  </si>
  <si>
    <t>4_campanile2</t>
  </si>
  <si>
    <t>c(1534728.86547098</t>
  </si>
  <si>
    <t xml:space="preserve"> 5449137.6894926)</t>
  </si>
  <si>
    <t>c(1534837.03319158</t>
  </si>
  <si>
    <t xml:space="preserve"> 5449119.84082123)</t>
  </si>
  <si>
    <t>c(1543054.264</t>
  </si>
  <si>
    <t xml:space="preserve"> 5438260.937)</t>
  </si>
  <si>
    <t>c(1534845.95583255</t>
  </si>
  <si>
    <t xml:space="preserve"> 5449110.22284529)</t>
  </si>
  <si>
    <t>5_campanile2</t>
  </si>
  <si>
    <t>c(1534851.54999012</t>
  </si>
  <si>
    <t xml:space="preserve"> 5449114.61635665)</t>
  </si>
  <si>
    <t>c(1534850.44404961</t>
  </si>
  <si>
    <t xml:space="preserve"> 5449112.23815279)</t>
  </si>
  <si>
    <t>6_campanile2</t>
  </si>
  <si>
    <t>c(1535672.647</t>
  </si>
  <si>
    <t xml:space="preserve"> 5445133.892)</t>
  </si>
  <si>
    <t xml:space="preserve">Fue una de las  mejores caminatas que realicÃ© en PNNH, caminar por el cerro capitÃ¡n y ver el tronador fue Ã©pico </t>
  </si>
  <si>
    <t>c(1535672.369</t>
  </si>
  <si>
    <t>c(1543064.636</t>
  </si>
  <si>
    <t xml:space="preserve"> 5445137.454)</t>
  </si>
  <si>
    <t xml:space="preserve"> 5438256.764)</t>
  </si>
  <si>
    <t>7_campanile2</t>
  </si>
  <si>
    <t>chillar</t>
  </si>
  <si>
    <t>c(1535678.245</t>
  </si>
  <si>
    <t xml:space="preserve"> 5445142.558)</t>
  </si>
  <si>
    <t>c(1543069.116</t>
  </si>
  <si>
    <t xml:space="preserve"> 5438253.088)</t>
  </si>
  <si>
    <t>p8</t>
  </si>
  <si>
    <t>8_campanile2</t>
  </si>
  <si>
    <t>c(1543069.433</t>
  </si>
  <si>
    <t xml:space="preserve"> 5438252.826)</t>
  </si>
  <si>
    <t>UbicaciÃ³n actual 1</t>
  </si>
  <si>
    <t>Impresionantes vistas desde filos de cerros!!!</t>
  </si>
  <si>
    <t>1_llum</t>
  </si>
  <si>
    <t>c(1535674.767</t>
  </si>
  <si>
    <t xml:space="preserve"> 5445125.458)</t>
  </si>
  <si>
    <t>c(1538515.956</t>
  </si>
  <si>
    <t>c(1535661.241</t>
  </si>
  <si>
    <t xml:space="preserve"> 5427305.386)</t>
  </si>
  <si>
    <t xml:space="preserve"> 5445115.373)</t>
  </si>
  <si>
    <t>trevelin</t>
  </si>
  <si>
    <t>6 abr 2025 11:40:53 2</t>
  </si>
  <si>
    <t>c(1535668.948</t>
  </si>
  <si>
    <t xml:space="preserve"> 5445110.641)</t>
  </si>
  <si>
    <t>2_llum</t>
  </si>
  <si>
    <t>c(1538514.812</t>
  </si>
  <si>
    <t xml:space="preserve"> 5427303.973)</t>
  </si>
  <si>
    <t>6 abr 2025 11:40:53 3</t>
  </si>
  <si>
    <t>3_llum</t>
  </si>
  <si>
    <t xml:space="preserve">Realizar la travesÃ­a es todo un momento Ã©pico </t>
  </si>
  <si>
    <t>6 abr 2025 11:43:07 4</t>
  </si>
  <si>
    <t>santiagodechile</t>
  </si>
  <si>
    <t>regiometropolitana</t>
  </si>
  <si>
    <t>chile</t>
  </si>
  <si>
    <t>4_llum</t>
  </si>
  <si>
    <t>c(1538512.342</t>
  </si>
  <si>
    <t xml:space="preserve"> 5427300.737)</t>
  </si>
  <si>
    <t>6 abr 2025 11:45:14 5</t>
  </si>
  <si>
    <t>fabulosa en todo aspecto! a mejorar: marcar mejor la senda en la bajada del cristales, y hacer la senda alrededor de la CAB. Gracias!!!</t>
  </si>
  <si>
    <t>5_llum</t>
  </si>
  <si>
    <t>c(1538503.618</t>
  </si>
  <si>
    <t xml:space="preserve"> 5427296.725)</t>
  </si>
  <si>
    <t>6 abr 2025 11:45:14 6</t>
  </si>
  <si>
    <t>6_llum</t>
  </si>
  <si>
    <t>Todo fue excelente, nos tocÃ³ lluvia y nieve que estaba previsto segÃºn windgurÃº, ME GUSTARÃ_x008d_A QUE LOS REGUFIOS Y GUARDAPARQUES inciten a utilizar mÃ¡s un handy, a llevarlo, porque el dÃ­a que esperamos 2 dÃ­as con nieve para poder pasar, nos vino bien tener un handy y saber que ante cualquier problema podemos avisar a alguien, sin embargo, los regufio no te quieren pasar frecuencias y te dicen que no las usen, pero parece que prefieren tener que salir a buscar a alguien a cualquier horario que utilizar 30 segundos de radio para verificar que todos estÃ©n bien. En el bosque, yendo de laguna negra a cab, a la bajada del cerro negro, la senda estÃ¡ un poco perdida luego del rÃ­o.</t>
  </si>
  <si>
    <t>francia</t>
  </si>
  <si>
    <t xml:space="preserve">La vivÃ­ bien, por suerte usaba Maps.me porque el camino no me pareciÃ³ bien marcado en algunos lugares.
FÃ­sicamente fue exigente, no difÃ­cil pero me duelen las piernas ahora que regresÃ© a Bariloche.
SubÃ­ unos cerros que se encuentran saliendo del camino de la travesÃ­a como el CAB y el CapitÃ¡n, fui al fondo del capitÃ¡n donde un cÃ³ndor volviÃ³ a algunos metros encima de mi cabeza y lleguÃ© a tener una vista hermosa del brazo tristeza y mÃ¡s, mejor que de la mirada del doctor para mi.
Bajar del cerro cristal a cretÃ³n me pareciÃ³ bastante difÃ­cil por lo empinado que es.
Una experiencia increÃ­ble, caminar solo en la montaÃ±a fue muy relajante. </t>
  </si>
  <si>
    <t>Todo</t>
  </si>
  <si>
    <t>Nos encanto la laguna azul</t>
  </si>
  <si>
    <t>Para nosotros la travesÃ­a fue muy interesante y bonita, pero el tramo despuÃ©s de Laguna CretÃ³n y Laguna Azul necesita estar mejor seÃ±alizado, al igual que la bajada del Cerro de los Cristales, que es peligrosa. HabÃ­a mucho papel higiÃ©nico en algunos campamentos y heces humanas muy cerca del agua de la cascada que baja de Laguna CretÃ³n. Registramos el trekking antes del sendero, sin embargo, creemos importante recibir una comunicaciÃ³n del Parque Nacional al final de la fecha prevista de regreso, para confirmar que salimos del sendero y no solo que ingresamos (Â¿tal vez vÃ­a WhatsApp? No sÃ©). Nos quedamos 1 dÃ­a mÃ¡s de lo esperado, porque el terreno a veces era difÃ­cil de caminar y el sendero no era tan productivo como imaginÃ¡bamos. La gente que trabaja en los refugios Laguna Negra e IlÃ³n es muy educada y servicial. Los precios nos parecieron un poco caros, especialmente para nosotros que somos de SudamÃ©rica.</t>
  </si>
  <si>
    <t>alemania</t>
  </si>
  <si>
    <t>DesafÃ­o haciendo la travesÃ­a en 2 dÃ­as, ningÃºn inconveniente cÃ³mo ya conocÃ­a el camino.</t>
  </si>
  <si>
    <t>Lo que mÃ¡s me gusta de esta travesÃ­a es ir acercÃ¡ndome filo a filo al tronador, y terminar con la vista inmensa desde el filo del capitÃ¡n.</t>
  </si>
  <si>
    <t>Ninguno</t>
  </si>
  <si>
    <t xml:space="preserve">Por ser la primera vez, me perdi como tres dÃ­as en la montaÃ±a.. lamento que no haya mucha seÃ±alizaciÃ³n.. Muy TÃ©cnico las sendas de las 5 lagunas.. por Ãºltimo fue culpa de mÃ­ grupo por dejarme solo.. elegÃ­ mal las amistades. Los refuguieros de laguna Negra muy atentos.. Gracias </t>
  </si>
  <si>
    <t>No fue tan exigente como creÃ­amos, los paisajes Ãºnicos! Mucha gente nos tocÃ³ cruzarnos ya que era fin de semana largo, hubo gente que prendiÃ³ fuego.</t>
  </si>
  <si>
    <t>haedo</t>
  </si>
  <si>
    <t>Garmin</t>
  </si>
  <si>
    <t>Muy linda travesia, desafiante y con menos caudal de gente que la mayorÃ­a de trekking en bariloche. Falta demarcaciÃ³n, ayude a una pareja perdida en el bosque( estuvieron 2hs perdidos aprox). EstarÃ­a bueno un chequeo mÃ­nimo de equipo para realizarla. Esta pareja no tenÃ­a ni el track, ni mapa.</t>
  </si>
  <si>
    <t>plotier</t>
  </si>
  <si>
    <t>Relive</t>
  </si>
  <si>
    <t>Todo me gustÃ³. El desafÃ­o, la inmensidad, las vistas. La subida a la laguna CAB fue Ã©pica porque la senda casi que no existe por la cantidad de Ã¡rboles y las marcas errÃ³neas. Hay una marca roja que no lleva a ningÃºn lado. Otro momento Ã©pico fue la bajada del cerro Cristales. Equivocamos y tuvimos que improvisar una.</t>
  </si>
  <si>
    <t>tandil</t>
  </si>
  <si>
    <t>Esta travesÃ­a la he realizado unas 5 o 6 veces. Lo que me sorprende cada vez mÃ¡s es la falta de respeto respecto de no encender fogatas. TambiÃ©n lo deteriorada que estÃ¡ la cartelerÃ­a en gral (se nota que nunca la renuevan). En mi caso no necesito carteles porque conozco bien la zona, pero este verano -de casualidad- me crucÃ© con una familia que estaba bajando desde el filo del Bailey Willis hacia La Chata, pensando que estaba yendo hacia el refugio Lopez (me dijeron que un grupo de 3 chicos les habÃ­an dicho que era por ahÃ­ el camino); no llevaban carpa ni comida. Con buena cartelerÃ­a mÃ­nima este tipo de errores se puede evitar fÃ¡cilmente.</t>
  </si>
  <si>
    <t>Laguna Azul</t>
  </si>
  <si>
    <t>Hace mÃ¡s de 10 aÃ±os</t>
  </si>
  <si>
    <t xml:space="preserve">Hace mÃ¡s de 10 aÃ±os </t>
  </si>
  <si>
    <t xml:space="preserve">SeÃ±alizacion tapada por nieve. Dificultad para encontrar el camino. </t>
  </si>
  <si>
    <t>viedma</t>
  </si>
  <si>
    <t xml:space="preserve">La travesÃ­a estuvo excelente. Pero hubo algunos problemas con los senderos en el bosque. Saliendo del arroyo la chata el bosque estaba muy cerrado y te perdÃ­as fÃ¡cil. Luego antes de llegar a la cab, al salir del bosque aparece un claro y uno tiende a seguir por el bosque desoues del prado porque hay un camino que rÃ¡pidamente se pierde. Resulta que habÃ­a que ir por arriba y evitar el bosque y esta mal seÃ±alado. Luego saliendo de la cabcabntes deldelegar al filo del cabcabo poco de bosque quÃ©hay esta cerradisimo.
Pero bueno, despuÃ©s de eso, muy lindo.
Saludos </t>
  </si>
  <si>
    <t>OmsAnd</t>
  </si>
  <si>
    <t>La travesia esta muy bien y en general se siente segura, siempre que haya buen clima. Hubo algo de nieve al cruzar el cerro cristal y capitan, pero no represento problemas ni necesidad de equipo especial (como decia ser necesario el registro de trekking). Lo unico, hay algunas partes del sendero que estan mal seÃ±alizadas, y se formaron huellas o picadas porque la gente se confunde y va por un lugar incorrecto. Particularmente luego del arrollo La Chata y subiendo al Cerro CAB, mejorar ese aspecto.</t>
  </si>
  <si>
    <t>Muy dificil</t>
  </si>
  <si>
    <t>ruta</t>
  </si>
  <si>
    <t>dia_pernocte</t>
  </si>
  <si>
    <t>costo_acumulado</t>
  </si>
  <si>
    <t>visitantes_acumulados</t>
  </si>
  <si>
    <t>proporcion_visitantes</t>
  </si>
  <si>
    <t>Experiencia inolvidable!!! La parte que necesita trabajo de senda es la subida de la chata a Laguna CAB. Muchos Ã¡rboles caÃ­dos y la vegetaciÃ³n avanzÃ³ sobre la senda</t>
  </si>
  <si>
    <t>desnivelp</t>
  </si>
  <si>
    <t>desniveln</t>
  </si>
  <si>
    <t>Laguna Jujuy</t>
  </si>
  <si>
    <t>ruta1</t>
  </si>
  <si>
    <t xml:space="preserve">Hermosa travesÃ­a, desafiante y con vistas y lugares espectaculares. Considero que hay que mejorar cuestiones como cartelerÃ­a, mantenimiento de senda fundamentalmente entre Arroyo La Chata y Cerro CAB y algunos sectores de Acampe. Hermoso el Mallin de las vueltas y pozones de Creton.
</t>
  </si>
  <si>
    <t>Mappy</t>
  </si>
  <si>
    <t>Linda experiencia. El camino para laguna CAB luego del caÃ±averal hay un camino marcado quÃ© no es el correcto y la gente se pierde. No pudimos cruzar hacia la 3ra laguna porque habÃ­a mucha nieve</t>
  </si>
  <si>
    <t>almirantebrown</t>
  </si>
  <si>
    <t xml:space="preserve">La travesÃ­a fue espectacular. Lo que si, lo Ãºnico malo, el dÃ­a que hice laguna cab - creton me perdÃ­. Luego de salir de la laguna, transitar el mallin, subir al cerro cab bajÃ© por otro sendero pensando que era el que debÃ­a (encontrÃ© pircas). En vez de seguir la flecha en el filo del cerro , apenas subÃ­ bajÃ© en sentido opuesto y me perdÃ­. TardÃ© unas buenas horas hasta encontrar nuevamente la senda (mallin del mate dulce). </t>
  </si>
  <si>
    <t>Una travesÃ­a increÃ­ble. Creo que deberÃ­an mejorar el seÃ±alizado entre laguna negra y laguna cab (hablando con otros senderistas, les pasÃ³ lo mismo. DespuÃ©s de pasar por la zona de caÃ±as, en donde hay que subir recto, se perdÃ­an porque seguian por las caÃ±as).
Y la primer parte de lenga, subiendo de laguna cab al cerro cab.
En el mallin del mate dulce falta algunas marcas pero es un sendero fÃ¡cil.
Y a partir de laguna cretton hasta laguna ilon estaba todo muy bien seÃ±alizado.</t>
  </si>
  <si>
    <t>Lo que mas me gusto fue la subida al Cerro Cristales. BellÃ­simo!</t>
  </si>
  <si>
    <t>Simplemente alucinante, paisajes increÃ­bles y un entorno natural pristino. Nos cruzamos con poca gente durante el recorrido lo cual nos dio mucha paz y soledad para conectar con el ambiente. Disfrutamos la expediciÃ³n muchÃ­simo ya que tuvimos un clima excepcional todos los dÃ­as de la travesÃ­a.
Reconozco que se subestima la travesÃ­a y los pasos son de dificultad alta para quien no tiene experiencia ni equipo, particularmente el de El capitÃ¡n que lleva de Creton a mallin de Ricardo, por lo tanto personas sin experiencia deberÃ­an contratar un guÃ­a profesional. En ese paso mÃ­ compaÃ±era se asustÃ³ durante la bajada porque es un terreno muy empinado y escarpado que con una mochila pesada es muy riesgoso transitar, hay que destrepar muchas veces. AllÃ­ tuvimos muchos sustitos :D pero pudimos resolverlo.
 TambiÃ©n es necesario llevar indumentaria adecuada para actividades outdoor y equipo de acampe para reducir cualquier riesgo e imprevisto. 
El sendero por lo general estÃ¡ bien marcado (salvo la subida a CAB quizÃ¡s) allÃ­ nos desorientados brevemente luchando entre caÃ±as jaja pero pudimos retomar el sendero. 
De las mejores travesÃ­as que he realizado sin dudas! Y terminar en ilon y tener unos dÃ­as de "playa" fue un espectÃ¡culo, excelente lugar para recuperarse y descansar, os refugiero son lo mÃ¡s y te atienden de primera. Recomiendo quedarse acampando un dÃ­a entero como mÃ­nimo.</t>
  </si>
  <si>
    <t>Rancho Manolo</t>
  </si>
  <si>
    <t>Fue hermosa, los paisajes son muy variados y no se ven otras personas, lo cual permitiÃ³ disfrutar mucho la travesÃ­a. A la noche tratÃ¡bamos de dormir con la carpa abierta para poder ver las estrellas.</t>
  </si>
  <si>
    <t xml:space="preserve">Vimos animales hermosos como varios cÃ³ndores. Quedamos muy preocupados por la sequedad de todo en general, incluso mallines enteros se ven secos. Llamo la atenciÃ³n tambiÃ©n la cantidad de papel higiÃ©nico tirado en diferentes lugares. SerÃ­a importante enfatizar promociÃ³n de Buenos hÃ¡bitos en la montaÃ±a (residuos, baÃ±os, no alimentar animales, entre otros). </t>
  </si>
  <si>
    <t xml:space="preserve">La vista desde el cerro capitÃ¡n es lo mÃ¡s hermoso de la travesÃ­a </t>
  </si>
  <si>
    <t>sanisidro</t>
  </si>
  <si>
    <t>El ascenso y el descenso del cerro cristal, hermoso y desafiante</t>
  </si>
  <si>
    <t xml:space="preserve">El lugar espectacular lastima que varias partes del sendero estÃ©n muy perdidas y abandonadas ESI hace que pierdas tiempo y seguridad en seguirlas .si el camino estÃ¡ inviable deberÃ­as saber al momento de anotarte en la pÃ¡gina o alguna carteleria en el lugar ! Sendero cerrado no seguir por precauciÃ³n, vimos mucha gente perdida en la zona antes de llegar a lag Cab y al salir de ella para subir al cerro cristal ! Totalmente perdidos por mÃ¡s mapa y track ! Una irresponsabilidad de parques y los q habilitan estas sendas sin hacer un relevamiento antes ! Lo he dicho muy claro tienen mis datos y pueden llamar cuando quieran . </t>
  </si>
  <si>
    <t>Estados unidos</t>
  </si>
  <si>
    <t>United States</t>
  </si>
  <si>
    <t>ruta2</t>
  </si>
  <si>
    <t>Muy buena travesÃ­a!! 
Dos consejos: La informaciÃ³n sobre el camino era muy mal. Mucha gente (incluyendo en los refugios) nos dijeron que habÃ­a nieve en la senda, pero solo habÃ­a un poquito que no presentÃ³ ninguna problema. TambiÃ©n, la senda subiendo a Laguna CAB estÃ¡ en mala condiciÃ³n. Si instalan seÃ±ales diciendo adonde va, se recupera muy rÃ¡pida por el trÃ¡nsito de la gente, pero ahora toda la gente van por rutas diferentes y entonces no se puede seguir la senda para nada y hay mucha caÃ±a que tiene que romper</t>
  </si>
  <si>
    <t>Refugio LÃ³pez</t>
  </si>
  <si>
    <t>estados unidos</t>
  </si>
  <si>
    <t>la tranquilidad, los paisajes, la facilidad, travesia minimalista 5 kg, vatriedad de terrenos en la travesia, las lagunas con arena. La pude realizar en 13 horas netas de caminata, lo que me dio tiempo a dormir o descansar en lagunas y rios. Hacerla solo me permitio manejar mis tiempos. Nunca me senti exigido, pero me divirtio buscar el sendero que se perdia en algunos sectores.</t>
  </si>
  <si>
    <t xml:space="preserve">Es mi segunda vez en 4 aÃ±os y primera vez de mi compaÃ±ero </t>
  </si>
  <si>
    <t>Saliendo de colonia suiza, el 3er dia es largo pero majestuoso a nivel escenico y sin dificultad tecnica por lo que es de mis favoritos</t>
  </si>
  <si>
    <t>ruta3</t>
  </si>
  <si>
    <t>chosmalal</t>
  </si>
  <si>
    <t xml:space="preserve">Fue desafiante seguir la senda por momentos, pues estÃ¡ muy poco marcada y las pircas y marcas de color para seguirla eran muy poco frecuentes. </t>
  </si>
  <si>
    <t>Es la segunda vez, pero he hecho otras travesÃ­as en aÃ±os anteriores</t>
  </si>
  <si>
    <t xml:space="preserve">Todo muy hermoso. Lo mejor fue quedarse muchos dÃ­as en Laguna CAB, todos pasan de largo, pero es un lugar hermoso para quedarse. Lo malo fue que llevamos demasiado peso por tener muchas precauciones con respecto al clima, comida extra, cuestiones de higiene, etc.. llevabamos aprox 20 y 28 kg. Demasiado. EstarÃ­a bueno que haya materiales didÃ¡cticos oficiales que ayuden a planificar el viaje y a armar la mochila. </t>
  </si>
  <si>
    <t>ruta 4</t>
  </si>
  <si>
    <t>Lo mÃ¡s bello de la travesÃ­a fue compartÃ­rla llegada al filo del capitÃ¡n donde pudimos ver el tronador por primera vez despuÃ©s de muchos dÃ­as de nubosidad alta. El momento malo fue tener que apagar un fogÃ³n que habÃ­an hecho unos extranjeros en Laguna CAB. Nosotros los guÃ­as lo reprendimos y volvimos a informar sobre la prohibiciÃ³n de hacer fuego dentro del parque nacional.</t>
  </si>
  <si>
    <t xml:space="preserve">Hermosa travesÃ­a. La picada estaba bien marcada, salvo pasando el arroyo la chata, que se perdÃ­a un poco en las caÃ±as colihue. Los sitios de acampe y el camino muy limpio, salvo los papeles higiÃ©nicos, que nadie se lleva. Incluso habÃ­a toallas hÃºmedas, que no se deshacen. EstarÃ­a bueno informar, que eso hay que llevarlo tambiÃ©n. </t>
  </si>
  <si>
    <t>Fue lo mejor que me pudo pasar, camino de laguna negra a la chata y de la chata a cab en MUY MAL ESTADO Y POCO SEÃ‘ALIZADA</t>
  </si>
  <si>
    <t>cipoletti</t>
  </si>
  <si>
    <t>Cada dos/tres aÃ±os, es la tercera vez</t>
  </si>
  <si>
    <t xml:space="preserve">Espectacular. Me gustaria que haya mas carteleria recordando que el fuego esta prohibido y sobre el peligro de incendio, e indicando que el papel y las deposiciones hay que enterrarlos. Esto ultimo no lo vi escrito en ningun lado, la gente tiene que aprender sobre esto y no hay nada de informacion al respecto. </t>
  </si>
  <si>
    <t>ensenada</t>
  </si>
  <si>
    <t>El aÃ±o q viene vamos por la revancha completa, hermoso</t>
  </si>
  <si>
    <t>Feliz, disfruto de una travesÃ­a poco transitada para estar realmente en contacto con la naturaleza, y poder apreciar la flora y fauna patagonica, fue desafiante sobretodo baja seÃ±alizacion en las bajadas lo que hacia fÃ¡cil perder el camino</t>
  </si>
  <si>
    <t>La habia hecho hace 2 aÃ±os</t>
  </si>
  <si>
    <t xml:space="preserve">Lo que mas me gustÃ³ es que el sendero no esta marcado como el camino a un refugio tipo pampa linda - Ilon, para dar un ejemplo. Entonces, la gente que no tiene tanta experiencia no se manda a la travesia de cinco lagunas. Me encantÃ³ acampar en lugares agreste con casi nada de gente. En el cerro cristal ver condores volando fue hermoso. </t>
  </si>
  <si>
    <t>Realizamos bastante seguido esta y otras travesias, al menos una vez por aÃ±o, esta vez el clima nos complicÃ³ un poco la bajada del cristales y la subida al capitÃ¡n, creo que llegamos a los destinos sin complicaciones gracias a conocer el camino de antemano, porque las nubes bajas y la poca seÃ±alizacion, sobre todo en la bajada del cristales, hubiera complicado a cualquiera que no conozca el lugar. Por lo demÃ¡s todo muy hermoso y la hospitalidad en laguna ilon y refugio rocca fueron importantisimas para bajar a pampa linda con una sonrisa</t>
  </si>
  <si>
    <t>cada 5 aÃ±os</t>
  </si>
  <si>
    <t>Nuca</t>
  </si>
  <si>
    <t>relive</t>
  </si>
  <si>
    <t>Muy buena en general, falta un refugio en la laguna CAB asi se mantienen mejor las condiciones de las picadas y la seguridad del lugar</t>
  </si>
  <si>
    <t>El bosque previo al cerro CAB esta muy mal seÃ±alizado y cerrado al igual que su bajada, a si mismo la bajada del cerro Cristal no esta marcada, es una zona muy delicada, hay una pirca que lleva a un paso arcilloso que da al abismo. Creo que no hay accidentes en esta travesia de milagro.</t>
  </si>
  <si>
    <t xml:space="preserve">fue muy hermosa, el clima no nos ayudo pero igual disfrutamos. poca seÃ±alizacion en la zona de laguna cab, esa parte se dificulto un poco. Nos encontramos con gente prendiendo fuego, les dijimos que esta prohibido , pero nos dijeron que para cocinar si. me parece importante mas carteles en esa zona o mas campaÃ±a de conscientizacion. </t>
  </si>
  <si>
    <t>es la segunda vez</t>
  </si>
  <si>
    <t>Espectacular</t>
  </si>
  <si>
    <t>chascomus</t>
  </si>
  <si>
    <t>Reconocer un tipo de silencio</t>
  </si>
  <si>
    <t>El clima</t>
  </si>
  <si>
    <t>Trail Running</t>
  </si>
  <si>
    <t>Nos gustÃ³ mucho la laguna CAB y el contemplar el Tronador.  Sugerimos mejorar la seÃ±alizaciÃ³n del sendero. 
Fue una experiencia maravillosa.</t>
  </si>
  <si>
    <t>No acampamos</t>
  </si>
  <si>
    <t>El filo que borde la laguna azul</t>
  </si>
  <si>
    <t>GurÃºmaps</t>
  </si>
  <si>
    <t>Fue hermosa, compartir esos paisajes con amigos no tiene comparaciÃ³n. Nos enojamos porque en dos ocasiones vimos gente haciendo fuego.</t>
  </si>
  <si>
    <t>puebla</t>
  </si>
  <si>
    <t>mexico</t>
  </si>
  <si>
    <t>me gustÃ³ mucho caminar sobre un glaciar, sobre la nieve y llegar a la laguna azul. El agua, lo mÃ¡s hermoso que mis ojos hayan visto, lo mas delicioso que he probado, gracias Argentina por cuidar esos espacios sagrados</t>
  </si>
  <si>
    <t>Ceske Budejovice</t>
  </si>
  <si>
    <t>RepÃºblica Checa</t>
  </si>
  <si>
    <t>Es la tercera vez en ocho aÃ±os</t>
  </si>
  <si>
    <t>Esta es una de mis travesÃ­as favoritas y vuelvo siempre que puedo. Me encanta la diversidad de paisajes y la poca gente que va.</t>
  </si>
  <si>
    <t>ceske budejovice</t>
  </si>
  <si>
    <t>Fue lejos una de las mejores en cuanto al clima que nos tocÃ³ durante los dÃ­as estuvimos realizando la travesÃ­a. Tuvimos una hermosa luna nueva.</t>
  </si>
  <si>
    <t>no es la primera vez que hago esta travesÃ­a</t>
  </si>
  <si>
    <t>Cada filo es una experiencia profunda, pero en este trekking el Cerro de los Cristales se lleva la mejor parte</t>
  </si>
  <si>
    <t>Todos la habÃ­amos realizado, una persona 2 veces en los Ãºltimos 5 aÃ±os</t>
  </si>
  <si>
    <t>quilmes</t>
  </si>
  <si>
    <t>La realice en 2017 aprox</t>
  </si>
  <si>
    <t>La travesÃ­a es increÃ­ble, desde arroyo la chata hasta laguna cab la senda estÃ¡ muy trabada por Ã¡rboles caÃ­dos y pocas marcas.
Lo mismo desde laguna cab hasta salir del bosque subiendo al cerro cab.
Lo demÃ¡s todo increÃ­ble, la zona de acampe del mallin del mate dulce es un lugar espectacular, me encantarÃ­a planificar quedarme ahÃ­ la proxima</t>
  </si>
  <si>
    <t xml:space="preserve">Todo excelente. Se deberÃ­a educar mÃ¡s a las personas que realizan travesÃ­as para cuidar el medio ambiente y evitar la contaminaciÃ³n. </t>
  </si>
  <si>
    <t>Mallin Goye</t>
  </si>
  <si>
    <t xml:space="preserve">espectacular. los paises. la laguna azul. la vista del capitan. </t>
  </si>
  <si>
    <t>Me gusta mucho esta travesÃ­a, sÃ³lo la parte del arroyo la chata, subiendo a la laguna cab el sendero estaba complicado y nos perdimos un poco.</t>
  </si>
  <si>
    <t>coronelsuarez</t>
  </si>
  <si>
    <t>Primario</t>
  </si>
  <si>
    <t>Hermosos lugares , mucho bosque y cada filo mejor vista del tronador</t>
  </si>
  <si>
    <t xml:space="preserve">Un gran desafio pero alucinante. Dsifrutamos mucho de la naturaleza, la desconexion y los paisajes. Solo aconsejariamos mejorar la senda que conduce a Laguna CAB, mas que nada el bosque y caÃ±averal donde el camino se pierde y no hay seÃ±alizacion alguna. </t>
  </si>
  <si>
    <t>Es muy linda la travesÃ­a, me encanta hacerla todos los aÃ±os. Lo que mÃ¡s me gusta es ir acercÃ¡ndome al Tronador, es como una peregrinaciÃ³n.</t>
  </si>
  <si>
    <t>Muy linda</t>
  </si>
  <si>
    <t>mendoza</t>
  </si>
  <si>
    <t xml:space="preserve"> </t>
  </si>
  <si>
    <t>Un almuerzo muy lindo en el filo desde donde se ve Laguna Azul a un lago y al otro lado el valle y el brazo tristeza. Perdimos el sendero subiendo hacia Laguna Cab pero lo volvimos a encontrar rÃ¡pidamente.</t>
  </si>
  <si>
    <t>sanjuan</t>
  </si>
  <si>
    <t>Increible</t>
  </si>
  <si>
    <t xml:space="preserve">Soy guÃ­a del parque. Me encanta esta travesÃ­a. Lamentablemente mucho fogÃ³n y mucho papel higiÃ©nico </t>
  </si>
  <si>
    <t xml:space="preserve">Un gran desafÃ­o fue encontrar la baja del cerro CAB, habÃ­a muchas pircas que indicaban diferentes caminos, finalmente logramos encontrarla. </t>
  </si>
  <si>
    <t>La senda antes de llegar a laguna cab, no estÃ¡ bien marcada. Ã_x0081_rboles caidos y pocas indicaciones. Pero conociamos. Para una primera vez, desorienta.</t>
  </si>
  <si>
    <t>toda</t>
  </si>
  <si>
    <t xml:space="preserve">Debimos suspenderla por la lesiÃ³n de un integrante.
 Aspectos a mejorar:
 Los senderos muy mal marcados.
La actitud soberbia prepotente y antipatria del refugiero de laguna negra que nos tratÃ³ mal cuando solicitamos soporte. 
Izar la bandera en los refugios 
</t>
  </si>
  <si>
    <t>Me hizo trabajar la entereza, en muchos momentos sentÃ­ que no podÃ­a mÃ¡s , que el cansancio no me permitÃ­a seguir pero lo hice igual y eso me hizo sentir muy bien conmigo. TambiÃ©n estar rodeado de tantas montaÃ±as y vegetaciÃ³n, diferentes lagunas me hizo apreciar la naturaleza. Sin dudas la mejor experiencia de mi vida</t>
  </si>
  <si>
    <t>Fue una experiencia increÃ­ble, rodeado de montaÃ±as, viendo diferentes lagunas arriba de la montaÃ±a y desafiÃ¡ndome constantemente para por ser avanzar en tan pocos dÃ­as. Sin dudas la mejor experiencia de mi vida</t>
  </si>
  <si>
    <t xml:space="preserve">Hermoso todo, el cerro cristales muy divertido de subir </t>
  </si>
  <si>
    <t xml:space="preserve">Todo es increÃ­ble. Soy de Bariloche de toda la vida y sin duda lo mejor que hice de montaÃ±a. </t>
  </si>
  <si>
    <t>Vivac en el filo del Cerro Capitan</t>
  </si>
  <si>
    <t xml:space="preserve">general roca </t>
  </si>
  <si>
    <t>Le agregamos al trekking de las 5 lagunas el sendero al lago frÃ­as, pasando por la mirada del doctor y refugio rocca</t>
  </si>
  <si>
    <t>general roca</t>
  </si>
  <si>
    <t>lomaszamora</t>
  </si>
  <si>
    <t>Me encanto el desafio, me puso a prueba mis conocimeintos, me mantuvo atento a todo, guiarme con nubes bajas, nevando y sin visual, fue un hermoso desafio, hermoso caminar descalso por laguna cab., no me gusto el sendero despues de arroyo la chata, muy cerrado, rompe mochila, carpa, aislante, se engancha todo, con las caÃ±as, mas los arboles caidos que te sacan del sendero, un desafio que te lleva a perderte y romper equipo. el resto impecable, vuelvo el proximo aÃ±o.</t>
  </si>
  <si>
    <t>Hermosa, lo que mÃ¡s me gustÃ³ fue la vegetaciÃ³n y las vistas desde los filos, nos costÃ³ encontrar el inicio de la picada saliendo de laguna cab hacÃ­a el cerro cab cÃ³mo asÃ­ tambiÃ©n la senda para rodear la laguna, nos metimos el agua para poder rodearla. Luego en el descenso del filo de los cristales nos costÃ³ seguir lar marcas y terminamos descendiendo por lugares muy expuestos e incÃ³modos para transicitarlos con mochila y resultÃ³ todo un desafio</t>
  </si>
  <si>
    <t xml:space="preserve">Muy lindo, estarÃ­a bueno que hagan refugios (explotados por alguna instituciÃ³n que tenga interÃ©s) para brindar mayores servicios y mÃ¡s seguridad. </t>
  </si>
  <si>
    <t>Tuve un poco de frÃ­o porque cayÃ³ una  nevadita, los paisajes son hermosos y fue una buena experiencia en grupo</t>
  </si>
  <si>
    <t>La vivi como una experiencia de reencuentro conmigo, como cada vez que voy a la montaÃ±a</t>
  </si>
  <si>
    <t>Cruzamos el cerro cristal en medio de una nevada</t>
  </si>
  <si>
    <t>Hermosos lugares, es la tercer vez que la hago y volvere !</t>
  </si>
  <si>
    <t>Subiendo a CAB hay mÃºltiples â€œfalsos senderosâ€_x009d_. Muy facil perder el camino, le paso a todos los que nos encontramos en la laguna.
Fue divertido pero lamentablemente hizo que transitaramos por caminos no estipulados.
Antes de subir a laguna cretÃ³n, hay un valle precioso con pileton natural. Impresionante.
Hermosa travesia</t>
  </si>
  <si>
    <t xml:space="preserve">General roca </t>
  </si>
  <si>
    <t xml:space="preserve">Escuchar mÃºsica a lo lejos durante la noche </t>
  </si>
  <si>
    <t>mejor momento al subir la primer parte del cerro capitan y ver laguna azul, laguna jujuy, laguna creton, hotel tronador, lago mascardi, brazo tristeza, isla victoria y al final ver el tronador</t>
  </si>
  <si>
    <t>cada tanto, 7 veces en los Ãºltimos 25 aÃ±os</t>
  </si>
  <si>
    <t xml:space="preserve">Es una travesÃ­a Ãºnica! Lo mÃ¡s lindo es la mirada a la laguna Azul y, si tenÃ©s suerte con las nubes, la vista del trona. Sucede que por momentos la picada estÃ¡ mal mantenida y es muy fÃ¡cil perderse (por ejemplo al pasar el arroyo y empezar a subir hacia la laguna CAB). Bordear la CAB en ojotas (que convienen llevar) es lo mÃ¡s </t>
  </si>
  <si>
    <t>no acampamos</t>
  </si>
  <si>
    <t>El paisaje, contacto con la naturaleza. Dos momentos Ã©picos, el mirador del Azul y la vista del cerro Tronador desde la cima del cerro Capitan.</t>
  </si>
  <si>
    <t>Hermosa travesÃ­a.  HabrÃ­a que informar en forma mÃ¡s clara sobre la posible presencia de hielo en las bajadas, lo que la hace tÃ©cnicamente difÃ­cil  y peligrosa por momentos (Cerro CAB y Cristal) y puede requerir crampones.</t>
  </si>
  <si>
    <t xml:space="preserve">La travesia no la pude completar. 
Lo mÃ¡s importante a destacar es que el track descargado de barilochetrekking no era correcto al menos a partir de la laguna CAB. Eso me hizo perder mucho tiempo y hacer un pernocte.  Al dÃ­a sÃ­guente conocÃ­ a otras 3 personas habiendo la misma travesÃ­a, ellos tenÃ­an experiencia en montaÃ±a y escalada. Trataron de seguir las indicaciones del track y les paso lo mismo. 
Cobalto seguimos la senda quÃ© yo habÃ­a encontrado el dÃ­a anterior y pudimos seguir las marcar hasta subir el cerro CAB. ahÃ­ encontramos pocas marcas y muchas pircas indicando caminos diferentes.  No estaba claro cual era la ruta de descenso hacia el mallÃ­n del mate dulce. Al no ser confiable el track y estar mal marcada la ruta,  sumado a algunos lugares con hielo sobre esa ladera,  decidÃ­ volver a Laguna Negra.  Mis compaÃ±eros ocasionales contaban con crampones y bajaron directamente sin buscar la senda. 
No fui yo solo el que no encontrÃ³ el sendero indicado en el track de bariloche trekking,  nos paso a los 4. DespuÃ©s de la frustrada travesÃ­a busque tracks en otros sitios y observe que la mayorÃ­ada varios giros en la bajada del cerro CAB.
Otro detalle a observar es que el sendero de laguna Negra a CAB no estÃ¡ mantenido ni marcado en el sector del caÃ±averal despuÃ©s de cruzar el arroyo la Chata, los Ã¡rboles caÃ­dos sobre el sendero desorientan al quÃ© no tiene experiencia y conocÃ­ gente que no logro atravesar ese sector. 
PodrÃ­a comentar mÃ¡s cosas pero la idea es comentar los problemas bÃ¡sicos para ayudar a mejorar. Espero que sirvan mis comentarios y con gusto me pueden contactar para mÃ¡s detalles. </t>
  </si>
  <si>
    <t>neunquen</t>
  </si>
  <si>
    <t>la vivimos a pleno, como siempre, se vivencian muchas sensaciones. El desafÃ­o creo que es con uno mismo, ante situaciones que bloquean un poco, sumando los factores que conllevan  el andar algunos dias de travesia. 
Como anÃ©cdota: Bajamos el Co. Cristal, casi a gatas y con las ultimas horas de luz :l 
Pese a eso, agradecidas Siempre!</t>
  </si>
  <si>
    <t>Argentina</t>
  </si>
  <si>
    <t>Contactos del trekking</t>
  </si>
  <si>
    <t>Todo super</t>
  </si>
  <si>
    <t>France</t>
  </si>
  <si>
    <t>Las vistas desde la cumbre, al final de la cuesta que parte del Cerro CapitÃ¡n, son impresionantes. Me sorprendiÃ³ que no hubiera un Â«sendero oficialÂ» que llevara hasta allÃ­.</t>
  </si>
  <si>
    <t>france</t>
  </si>
  <si>
    <t>Israel</t>
  </si>
  <si>
    <t>Me gusta mucho el paisaje del sendero.
Por todas partes se indicaba que eran 5 o 6 dÃ­as de caminata.
En realidad fueron 3 o 4 dÃ­as (todas las personas con las que me crucÃ© por el camino lo hicieron en 3 o 4 dÃ­as).
DecidÃ­ ir al refugio Rocca en lugar de ir directamente a Pampa Linda porque tenÃ­a tiempo. AdemÃ¡s, el sendero de IlÃ³n a Rocca no es tan difÃ­cil como decÃ­an en la oficina del parque en Bariloche; estÃ¡ muy bien seÃ±alizado en todo el recorrido.</t>
  </si>
  <si>
    <t>israel</t>
  </si>
  <si>
    <t>Australia</t>
  </si>
  <si>
    <t>Blog post online</t>
  </si>
  <si>
    <t>Outdooractive</t>
  </si>
  <si>
    <t>Las vistas son impresionantes, sobre todo desde la cumbre del tercer dÃ­a y durante la caminata que pasa por el lago Azul. El segundo dÃ­a (de Laguna Negra a Laguna CAB), el sendero estaba muy cubierto de vegetaciÃ³n y era difÃ­cil avanzar.</t>
  </si>
  <si>
    <t>australia</t>
  </si>
  <si>
    <t>Switzerland</t>
  </si>
  <si>
    <t>hiking book</t>
  </si>
  <si>
    <t>maravillosas vistas</t>
  </si>
  <si>
    <t>Hamburg</t>
  </si>
  <si>
    <t>Germany</t>
  </si>
  <si>
    <t>Locus Maps</t>
  </si>
  <si>
    <t>Hay que mejorar los tramos del sendero que atraviesan los bosques. A veces son confusos y no hay suficientes seÃ±ales. AdemÃ¡s, habrÃ­a que despejar el camino de las ramas de los Ã¡rboles, para que incluso las personas altas, de unos 190 cm, puedan recorrer los senderos con la mochila a la espalda. Tuve que quitarme la mochila varias veces, agacharme bajo las ramas bajas de los Ã¡rboles y volver a cogerla. Especialmente el tramo despuÃ©s del rÃ­o del dÃ­a 02 (el comienzo del ascenso hacia Laguna CAB) fue horrible, con seÃ±alizaciÃ³n poco clara y bastante cubierto de vegetaciÃ³n.
Â¡Pero el resto de la travesÃ­a fue espectacular!</t>
  </si>
  <si>
    <t>hamburg</t>
  </si>
  <si>
    <t>Seattle</t>
  </si>
  <si>
    <t>Recorrer los distintos puertos fue increÃ­ble; el paisaje y la experiencia fueron fantÃ¡sticos. Mi Ãºnica queja es que el sendero que rodea la Laguna CAB estÃ¡ muy mal seÃ±alizado y no conseguÃ­ encontrarlo. Tuve que caminar por la orilla del lago, lo cual no parecÃ­a ser el sendero previsto.</t>
  </si>
  <si>
    <t>seattle</t>
  </si>
  <si>
    <t>Amstetten</t>
  </si>
  <si>
    <t>Austria</t>
  </si>
  <si>
    <t>Una experiencia estupenda. Lo recomiendo.</t>
  </si>
  <si>
    <t>amstetten</t>
  </si>
  <si>
    <t>Â¡Me ha encantado!</t>
  </si>
  <si>
    <t>Munich</t>
  </si>
  <si>
    <t>Sobre todo el descenso tras el cerro de los Cristales fue extremadamente peligroso. Hay varios tramos en los que las seÃ±ales de piedra indican un camino equivocado hacia partes extremadamente empinadas y aÃºn mÃ¡s peligrosas. Conseguimos superar todo esto, pero hubiÃ©ramos agradecido algo mÃ¡s de informaciÃ³n sobre estos tramos al principio. Justo despuÃ©s, el terreno estaba muy embarrado.
El tramo de subida hacia la Laguna CAB estaba muy cubierto de vegetaciÃ³n y mal seÃ±alizado. Al llegar a la cumbre, nos hubiera gustado saber que habÃ­a que vadear el lago.
Aparte de eso, Â¡una senda estupenda!</t>
  </si>
  <si>
    <t>munich</t>
  </si>
  <si>
    <t>NewYork</t>
  </si>
  <si>
    <t>El circuito fue increÃ­ble, me encantÃ³ de verdad. Lo Ãºnico fue que acampÃ© en Laguna CAB: acampÃ© despuÃ©s de rodear el lago, porque me pareciÃ³ mucho mejor quitarme las botas y cruzar el agua con el calor de la tarde que hacerlo con el frÃ­o de la maÃ±ana del dÃ­a siguiente.</t>
  </si>
  <si>
    <t>newyork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</si>
</sst>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0.0"/>
  </numFmts>
  <fonts count="4">
    <font>
      <sz val="11.0"/>
      <color theme="1"/>
      <name val="Calibri"/>
      <scheme val="minor"/>
    </font>
    <font>
      <color theme="1"/>
      <name val="Calibri"/>
      <scheme val="minor"/>
    </font>
    <font>
      <sz val="11.0"/>
      <color theme="1"/>
      <name val="Calibri"/>
    </font>
    <font>
      <sz val="11.0"/>
      <color theme="1"/>
      <name val="Arial"/>
    </font>
  </fonts>
  <fills count="3">
    <fill>
      <patternFill patternType="none"/>
    </fill>
    <fill>
      <patternFill patternType="lightGray"/>
    </fill>
    <fill>
      <patternFill patternType="solid">
        <fgColor theme="0"/>
        <bgColor theme="0"/>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shrinkToFit="0" wrapText="1"/>
    </xf>
    <xf borderId="0" fillId="0" fontId="2" numFmtId="164" xfId="0" applyFont="1" applyNumberFormat="1"/>
    <xf borderId="1" fillId="2" fontId="2" numFmtId="0" xfId="0" applyBorder="1" applyFill="1" applyFont="1"/>
    <xf borderId="1" fillId="2" fontId="3" numFmtId="0" xfId="0" applyBorder="1" applyFill="1" applyFont="1"/>
    <xf borderId="1" fillId="2" fontId="2" numFmtId="20" xfId="0" applyBorder="1" applyFill="1" applyFont="1" applyNumberFormat="1"/>
    <xf borderId="1" fillId="2" fontId="3" numFmtId="0" xfId="0" applyAlignment="1" applyBorder="1" applyFill="1" applyFont="1">
      <alignment horizontal="right"/>
    </xf>
    <xf borderId="0" fillId="0" fontId="2" numFmtId="22" xfId="0" applyFont="1" applyNumberFormat="1"/>
    <xf borderId="1" fillId="2" fontId="2" numFmtId="165" xfId="0" applyBorder="1" applyFill="1" applyFont="1" applyNumberFormat="1"/>
    <xf borderId="1" fillId="2" fontId="2" numFmtId="2" xfId="0" applyBorder="1" applyFill="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 r="A2" s="1">
        <v>1.0</v>
      </c>
      <c r="B2" s="1">
        <v>12.0</v>
      </c>
      <c r="C2" s="1">
        <v>9.71391835469541</v>
      </c>
      <c r="D2" s="1">
        <v>3147.4</v>
      </c>
      <c r="E2" s="1" t="s">
        <v>31</v>
      </c>
      <c r="F2" s="1" t="s">
        <v>32</v>
      </c>
      <c r="G2" s="1">
        <v>8.09758194360102</v>
      </c>
      <c r="H2" s="1">
        <v>16.4131162033785</v>
      </c>
      <c r="I2" s="1">
        <v>13.3735845121455</v>
      </c>
      <c r="J2" s="1" t="s">
        <v>33</v>
      </c>
      <c r="K2" s="1">
        <v>91.1487111073879</v>
      </c>
      <c r="L2" s="1">
        <v>923.372632225268</v>
      </c>
      <c r="M2" s="1" t="s">
        <v>34</v>
      </c>
      <c r="N2" s="1">
        <v>2.006</v>
      </c>
      <c r="O2" s="1">
        <v>1610.75</v>
      </c>
      <c r="P2" s="1">
        <v>0.0</v>
      </c>
      <c r="Q2" s="1">
        <v>398.9</v>
      </c>
      <c r="R2" s="1">
        <v>3147.4</v>
      </c>
      <c r="S2" s="1">
        <v>0.127</v>
      </c>
      <c r="T2" s="1">
        <v>1.4</v>
      </c>
      <c r="U2" s="1">
        <v>904.3</v>
      </c>
      <c r="V2" s="1">
        <v>11.0</v>
      </c>
      <c r="W2" s="1" t="s">
        <v>32</v>
      </c>
      <c r="X2" s="1" t="s">
        <v>32</v>
      </c>
      <c r="Y2" s="1" t="s">
        <v>34</v>
      </c>
      <c r="Z2" s="1" t="s">
        <v>35</v>
      </c>
      <c r="AA2" s="1">
        <v>7.7873123884201</v>
      </c>
      <c r="AB2" s="1">
        <v>2.08799975006255</v>
      </c>
      <c r="AC2" s="1">
        <v>4.50703039765358</v>
      </c>
      <c r="AD2" s="1">
        <v>2.15740074359806</v>
      </c>
      <c r="AE2" s="1" t="s">
        <v>34</v>
      </c>
    </row>
    <row r="3">
      <c r="A3" s="1">
        <v>3.0</v>
      </c>
      <c r="B3" s="1">
        <v>5.0</v>
      </c>
      <c r="C3" s="1">
        <v>7.98284942639122</v>
      </c>
      <c r="D3" s="1">
        <v>1026.1</v>
      </c>
      <c r="E3" s="1" t="s">
        <v>36</v>
      </c>
      <c r="F3" s="1" t="s">
        <v>37</v>
      </c>
      <c r="G3" s="1">
        <v>7.16275086820699</v>
      </c>
      <c r="H3" s="1">
        <v>7.98284942639122</v>
      </c>
      <c r="I3" s="1" t="s">
        <v>33</v>
      </c>
      <c r="J3" s="1" t="s">
        <v>33</v>
      </c>
      <c r="K3" s="1">
        <v>3.73728445931762</v>
      </c>
      <c r="L3" s="1">
        <v>9.72399263735711</v>
      </c>
      <c r="M3" s="1" t="s">
        <v>38</v>
      </c>
      <c r="N3" s="1">
        <v>1.518</v>
      </c>
      <c r="O3" s="1">
        <v>1131.5</v>
      </c>
      <c r="P3" s="1">
        <v>0.0</v>
      </c>
      <c r="Q3" s="1">
        <v>172.3</v>
      </c>
      <c r="R3" s="1">
        <v>1026.1</v>
      </c>
      <c r="S3" s="1">
        <v>0.168</v>
      </c>
      <c r="T3" s="1">
        <v>0.0</v>
      </c>
      <c r="U3" s="1">
        <v>0.0</v>
      </c>
      <c r="V3" s="1">
        <v>5.0</v>
      </c>
      <c r="W3" s="1" t="s">
        <v>37</v>
      </c>
      <c r="X3" s="1" t="s">
        <v>37</v>
      </c>
      <c r="Y3" s="1" t="s">
        <v>38</v>
      </c>
      <c r="Z3" s="1" t="s">
        <v>35</v>
      </c>
      <c r="AA3" s="1">
        <v>4.47827982902527</v>
      </c>
      <c r="AB3" s="1">
        <v>0.309998750686646</v>
      </c>
      <c r="AC3" s="1">
        <v>10.6170206069946</v>
      </c>
      <c r="AD3" s="1">
        <v>1.27356147766113</v>
      </c>
      <c r="AE3" s="1" t="s">
        <v>38</v>
      </c>
    </row>
    <row r="4">
      <c r="A4" s="1">
        <v>4.0</v>
      </c>
      <c r="B4" s="1">
        <v>30.0</v>
      </c>
      <c r="C4" s="1">
        <v>8.92512142355561</v>
      </c>
      <c r="D4" s="1">
        <v>8997.7</v>
      </c>
      <c r="E4" s="1" t="s">
        <v>31</v>
      </c>
      <c r="F4" s="1" t="s">
        <v>44</v>
      </c>
      <c r="G4" s="1">
        <v>8.65914737912072</v>
      </c>
      <c r="H4" s="1">
        <v>24.8778227078879</v>
      </c>
      <c r="I4" s="1">
        <v>20.2340116894482</v>
      </c>
      <c r="J4" s="1">
        <v>50.1465706208016</v>
      </c>
      <c r="K4" s="1">
        <v>30.4015100622464</v>
      </c>
      <c r="L4" s="1">
        <v>46.2017607233776</v>
      </c>
      <c r="M4" s="1" t="s">
        <v>45</v>
      </c>
      <c r="N4" s="1">
        <v>2.266</v>
      </c>
      <c r="O4" s="1">
        <v>1487.714286</v>
      </c>
      <c r="P4" s="1">
        <v>1.0</v>
      </c>
      <c r="Q4" s="1">
        <v>762.0</v>
      </c>
      <c r="R4" s="1">
        <v>8997.7</v>
      </c>
      <c r="S4" s="1">
        <v>0.085</v>
      </c>
      <c r="T4" s="1">
        <v>0.0</v>
      </c>
      <c r="U4" s="1">
        <v>1.8</v>
      </c>
      <c r="V4" s="1">
        <v>30.0</v>
      </c>
      <c r="W4" s="1" t="s">
        <v>44</v>
      </c>
      <c r="X4" s="1" t="s">
        <v>44</v>
      </c>
      <c r="Y4" s="1" t="s">
        <v>45</v>
      </c>
      <c r="Z4" s="1" t="s">
        <v>35</v>
      </c>
      <c r="AA4" s="1">
        <v>4.4621027983152</v>
      </c>
      <c r="AB4" s="1">
        <v>1.80520622674064</v>
      </c>
      <c r="AC4" s="1">
        <v>6.60081250850971</v>
      </c>
      <c r="AD4" s="1">
        <v>2.49426260797982</v>
      </c>
      <c r="AE4" s="1" t="s">
        <v>49</v>
      </c>
    </row>
    <row r="5">
      <c r="A5" s="1">
        <v>5.0</v>
      </c>
      <c r="B5" s="1">
        <v>36.0</v>
      </c>
      <c r="C5" s="1">
        <v>5.83986380802284</v>
      </c>
      <c r="D5" s="1">
        <v>7318.4</v>
      </c>
      <c r="E5" s="1" t="s">
        <v>31</v>
      </c>
      <c r="F5" s="1" t="s">
        <v>44</v>
      </c>
      <c r="G5" s="1">
        <v>7.12897062851449</v>
      </c>
      <c r="H5" s="1">
        <v>17.8519610029451</v>
      </c>
      <c r="I5" s="1">
        <v>26.7214836181877</v>
      </c>
      <c r="J5" s="1">
        <v>21.1590105215432</v>
      </c>
      <c r="K5" s="1">
        <v>5.6816257067716</v>
      </c>
      <c r="L5" s="1">
        <v>21.4988799771114</v>
      </c>
      <c r="M5" s="1" t="s">
        <v>54</v>
      </c>
      <c r="N5" s="1">
        <v>2.899</v>
      </c>
      <c r="O5" s="1">
        <v>1487.461538</v>
      </c>
      <c r="P5" s="1">
        <v>0.0</v>
      </c>
      <c r="Q5" s="1">
        <v>879.0</v>
      </c>
      <c r="R5" s="1">
        <v>7318.4</v>
      </c>
      <c r="S5" s="1">
        <v>0.12</v>
      </c>
      <c r="T5" s="1">
        <v>0.0</v>
      </c>
      <c r="U5" s="1">
        <v>0.0</v>
      </c>
      <c r="V5" s="1">
        <v>36.0</v>
      </c>
      <c r="W5" s="1" t="s">
        <v>44</v>
      </c>
      <c r="X5" s="1" t="s">
        <v>44</v>
      </c>
      <c r="Y5" s="1" t="s">
        <v>54</v>
      </c>
      <c r="Z5" s="1" t="s">
        <v>35</v>
      </c>
      <c r="AA5" s="1">
        <v>3.62829610705376</v>
      </c>
      <c r="AB5" s="1">
        <v>1.3434873944127</v>
      </c>
      <c r="AC5" s="1">
        <v>3.33610073725383</v>
      </c>
      <c r="AD5" s="1">
        <v>0.941980539782965</v>
      </c>
      <c r="AE5" s="1" t="s">
        <v>49</v>
      </c>
    </row>
    <row r="6">
      <c r="A6" s="1">
        <v>6.0</v>
      </c>
      <c r="B6" s="1">
        <v>13.0</v>
      </c>
      <c r="C6" s="1">
        <v>11.3498553842635</v>
      </c>
      <c r="D6" s="1">
        <v>13961.4</v>
      </c>
      <c r="E6" s="1" t="s">
        <v>31</v>
      </c>
      <c r="F6" s="1" t="s">
        <v>44</v>
      </c>
      <c r="G6" s="1">
        <v>16.3856175208157</v>
      </c>
      <c r="H6" s="1">
        <v>20.4291342278218</v>
      </c>
      <c r="I6" s="1">
        <v>40.495962504724</v>
      </c>
      <c r="J6" s="1" t="s">
        <v>33</v>
      </c>
      <c r="K6" s="1">
        <v>70.2602649685149</v>
      </c>
      <c r="L6" s="1">
        <v>721.767389531639</v>
      </c>
      <c r="M6" s="1" t="s">
        <v>60</v>
      </c>
      <c r="N6" s="1">
        <v>1.911</v>
      </c>
      <c r="O6" s="1">
        <v>1615.45</v>
      </c>
      <c r="P6" s="1">
        <v>1.0</v>
      </c>
      <c r="Q6" s="1">
        <v>800.6</v>
      </c>
      <c r="R6" s="1">
        <v>13961.4</v>
      </c>
      <c r="S6" s="1">
        <v>0.057</v>
      </c>
      <c r="T6" s="1">
        <v>0.0</v>
      </c>
      <c r="U6" s="1">
        <v>0.0</v>
      </c>
      <c r="V6" s="1">
        <v>13.0</v>
      </c>
      <c r="W6" s="1" t="s">
        <v>44</v>
      </c>
      <c r="X6" s="1" t="s">
        <v>44</v>
      </c>
      <c r="Y6" s="1" t="s">
        <v>60</v>
      </c>
      <c r="Z6" s="1" t="s">
        <v>35</v>
      </c>
      <c r="AA6" s="1">
        <v>4.13142017523448</v>
      </c>
      <c r="AB6" s="1">
        <v>3.05697501526687</v>
      </c>
      <c r="AC6" s="1">
        <v>9.92402114186968</v>
      </c>
      <c r="AD6" s="1">
        <v>4.74789461234278</v>
      </c>
      <c r="AE6" s="1" t="s">
        <v>67</v>
      </c>
    </row>
    <row r="7">
      <c r="A7" s="1">
        <v>7.0</v>
      </c>
      <c r="B7" s="1">
        <v>9.0</v>
      </c>
      <c r="C7" s="1">
        <v>6.12499813464217</v>
      </c>
      <c r="D7" s="1">
        <v>3484.3</v>
      </c>
      <c r="E7" s="1" t="s">
        <v>31</v>
      </c>
      <c r="F7" s="1" t="s">
        <v>32</v>
      </c>
      <c r="G7" s="1">
        <v>9.83799324614075</v>
      </c>
      <c r="H7" s="1">
        <v>27.0517124422501</v>
      </c>
      <c r="I7" s="1">
        <v>50.1987479496398</v>
      </c>
      <c r="J7" s="1" t="s">
        <v>33</v>
      </c>
      <c r="K7" s="1">
        <v>137.755925858601</v>
      </c>
      <c r="L7" s="1">
        <v>81.3013871663839</v>
      </c>
      <c r="M7" s="1" t="s">
        <v>71</v>
      </c>
      <c r="N7" s="1">
        <v>2.195</v>
      </c>
      <c r="O7" s="1">
        <v>1511.5</v>
      </c>
      <c r="P7" s="1">
        <v>0.0</v>
      </c>
      <c r="Q7" s="1">
        <v>459.3</v>
      </c>
      <c r="R7" s="1">
        <v>3484.3</v>
      </c>
      <c r="S7" s="1">
        <v>0.132</v>
      </c>
      <c r="T7" s="1">
        <v>14.2</v>
      </c>
      <c r="U7" s="1">
        <v>609.9</v>
      </c>
      <c r="V7" s="1">
        <v>9.0</v>
      </c>
      <c r="W7" s="1" t="s">
        <v>32</v>
      </c>
      <c r="X7" s="1" t="s">
        <v>32</v>
      </c>
      <c r="Y7" s="1" t="s">
        <v>71</v>
      </c>
      <c r="Z7" s="1" t="s">
        <v>35</v>
      </c>
      <c r="AA7" s="1">
        <v>4.16873035430908</v>
      </c>
      <c r="AB7" s="1">
        <v>1.39942052108232</v>
      </c>
      <c r="AC7" s="1">
        <v>4.48737211227417</v>
      </c>
      <c r="AD7" s="1">
        <v>3.24702069817554</v>
      </c>
      <c r="AE7" s="1" t="s">
        <v>67</v>
      </c>
    </row>
    <row r="8">
      <c r="A8" s="1">
        <v>8.0</v>
      </c>
      <c r="B8" s="1">
        <v>36.0</v>
      </c>
      <c r="C8" s="1">
        <v>4.70960692080295</v>
      </c>
      <c r="D8" s="1">
        <v>7194.3</v>
      </c>
      <c r="E8" s="1" t="s">
        <v>31</v>
      </c>
      <c r="F8" s="1" t="s">
        <v>44</v>
      </c>
      <c r="G8" s="1">
        <v>7.0682682933422</v>
      </c>
      <c r="H8" s="1">
        <v>17.0555103343721</v>
      </c>
      <c r="I8" s="1">
        <v>15.5576398782418</v>
      </c>
      <c r="J8" s="1">
        <v>30.5812002666376</v>
      </c>
      <c r="K8" s="1">
        <v>16.9546599549158</v>
      </c>
      <c r="L8" s="1">
        <v>24.5223654617227</v>
      </c>
      <c r="M8" s="1" t="s">
        <v>77</v>
      </c>
      <c r="N8" s="1">
        <v>3.029</v>
      </c>
      <c r="O8" s="1">
        <v>1510.333333</v>
      </c>
      <c r="P8" s="1">
        <v>0.0</v>
      </c>
      <c r="Q8" s="1">
        <v>910.7</v>
      </c>
      <c r="R8" s="1">
        <v>7194.3</v>
      </c>
      <c r="S8" s="1">
        <v>0.127</v>
      </c>
      <c r="T8" s="1">
        <v>0.0</v>
      </c>
      <c r="U8" s="1">
        <v>0.0</v>
      </c>
      <c r="V8" s="1">
        <v>36.0</v>
      </c>
      <c r="W8" s="1" t="s">
        <v>44</v>
      </c>
      <c r="X8" s="1" t="s">
        <v>44</v>
      </c>
      <c r="Y8" s="1" t="s">
        <v>77</v>
      </c>
      <c r="Z8" s="1" t="s">
        <v>35</v>
      </c>
      <c r="AA8" s="1">
        <v>2.61476709942023</v>
      </c>
      <c r="AB8" s="1">
        <v>1.35659687378681</v>
      </c>
      <c r="AC8" s="1">
        <v>4.79587625463804</v>
      </c>
      <c r="AD8" s="1">
        <v>2.39130398814948</v>
      </c>
      <c r="AE8" s="1" t="s">
        <v>67</v>
      </c>
    </row>
    <row r="9">
      <c r="A9" s="1">
        <v>9.0</v>
      </c>
      <c r="B9" s="1">
        <v>16.0</v>
      </c>
      <c r="C9" s="1">
        <v>7.23183573709065</v>
      </c>
      <c r="D9" s="1">
        <v>4545.0</v>
      </c>
      <c r="E9" s="1" t="s">
        <v>31</v>
      </c>
      <c r="F9" s="1" t="s">
        <v>44</v>
      </c>
      <c r="G9" s="1">
        <v>8.42707689534159</v>
      </c>
      <c r="H9" s="1">
        <v>9.65395528690182</v>
      </c>
      <c r="I9" s="1">
        <v>69.1774098671036</v>
      </c>
      <c r="J9" s="1" t="s">
        <v>33</v>
      </c>
      <c r="K9" s="1">
        <v>41.4405297057775</v>
      </c>
      <c r="L9" s="1">
        <v>33.0525355127196</v>
      </c>
      <c r="M9" s="1" t="s">
        <v>81</v>
      </c>
      <c r="N9" s="1">
        <v>2.228</v>
      </c>
      <c r="O9" s="1">
        <v>1586.285714</v>
      </c>
      <c r="P9" s="1">
        <v>0.0</v>
      </c>
      <c r="Q9" s="1">
        <v>532.5</v>
      </c>
      <c r="R9" s="1">
        <v>4545.0</v>
      </c>
      <c r="S9" s="1">
        <v>0.117</v>
      </c>
      <c r="T9" s="1">
        <v>0.0</v>
      </c>
      <c r="U9" s="1">
        <v>0.0</v>
      </c>
      <c r="V9" s="1">
        <v>16.0</v>
      </c>
      <c r="W9" s="1" t="s">
        <v>44</v>
      </c>
      <c r="X9" s="1" t="s">
        <v>44</v>
      </c>
      <c r="Y9" s="1" t="s">
        <v>81</v>
      </c>
      <c r="Z9" s="1" t="s">
        <v>35</v>
      </c>
      <c r="AA9" s="1">
        <v>15.3731343746185</v>
      </c>
      <c r="AB9" s="1">
        <v>3.29047767059956</v>
      </c>
      <c r="AC9" s="1">
        <v>11.3517925739288</v>
      </c>
      <c r="AD9" s="1">
        <v>1.38776572634155</v>
      </c>
      <c r="AE9" s="1" t="s">
        <v>84</v>
      </c>
    </row>
    <row r="10">
      <c r="A10" s="1">
        <v>10.0</v>
      </c>
      <c r="B10" s="1">
        <v>11.0</v>
      </c>
      <c r="C10" s="1">
        <v>3.43571971499732</v>
      </c>
      <c r="D10" s="1">
        <v>1141.5</v>
      </c>
      <c r="E10" s="1" t="s">
        <v>31</v>
      </c>
      <c r="F10" s="1" t="s">
        <v>44</v>
      </c>
      <c r="G10" s="1">
        <v>5.09344498529059</v>
      </c>
      <c r="H10" s="1">
        <v>8.2084024460115</v>
      </c>
      <c r="I10" s="1">
        <v>33.3232027875428</v>
      </c>
      <c r="J10" s="1" t="s">
        <v>33</v>
      </c>
      <c r="K10" s="1">
        <v>10.0455741172547</v>
      </c>
      <c r="L10" s="1">
        <v>30.36103820094</v>
      </c>
      <c r="M10" s="1" t="s">
        <v>88</v>
      </c>
      <c r="N10" s="1">
        <v>1.432</v>
      </c>
      <c r="O10" s="1">
        <v>1612.333333</v>
      </c>
      <c r="P10" s="1">
        <v>0.0</v>
      </c>
      <c r="Q10" s="1">
        <v>171.5</v>
      </c>
      <c r="R10" s="1">
        <v>1141.5</v>
      </c>
      <c r="S10" s="1">
        <v>0.15</v>
      </c>
      <c r="T10" s="1">
        <v>0.0</v>
      </c>
      <c r="U10" s="1">
        <v>0.0</v>
      </c>
      <c r="V10" s="1">
        <v>11.0</v>
      </c>
      <c r="W10" s="1" t="s">
        <v>44</v>
      </c>
      <c r="X10" s="1" t="s">
        <v>44</v>
      </c>
      <c r="Y10" s="1" t="s">
        <v>88</v>
      </c>
      <c r="Z10" s="1" t="s">
        <v>35</v>
      </c>
      <c r="AA10" s="1">
        <v>18.3562537726305</v>
      </c>
      <c r="AB10" s="1">
        <v>0.899520480287487</v>
      </c>
      <c r="AC10" s="1">
        <v>3.82566585615352</v>
      </c>
      <c r="AD10" s="1">
        <v>0.723232758496146</v>
      </c>
      <c r="AE10" s="1" t="s">
        <v>84</v>
      </c>
    </row>
    <row r="11">
      <c r="A11" s="1">
        <v>11.0</v>
      </c>
      <c r="B11" s="1">
        <v>26.0</v>
      </c>
      <c r="C11" s="1">
        <v>11.8042332736166</v>
      </c>
      <c r="D11" s="1">
        <v>25460.3</v>
      </c>
      <c r="E11" s="1" t="s">
        <v>31</v>
      </c>
      <c r="F11" s="1" t="s">
        <v>44</v>
      </c>
      <c r="G11" s="1">
        <v>15.6464237742392</v>
      </c>
      <c r="H11" s="1">
        <v>31.0633621625144</v>
      </c>
      <c r="I11" s="1">
        <v>51.3220767784298</v>
      </c>
      <c r="J11" s="1" t="s">
        <v>33</v>
      </c>
      <c r="K11" s="1">
        <v>73.1166886913309</v>
      </c>
      <c r="L11" s="1">
        <v>25.9403901927561</v>
      </c>
      <c r="M11" s="1" t="s">
        <v>109</v>
      </c>
      <c r="N11" s="1">
        <v>2.284</v>
      </c>
      <c r="O11" s="1">
        <v>1649.868421</v>
      </c>
      <c r="P11" s="1">
        <v>1.0</v>
      </c>
      <c r="Q11" s="1">
        <v>1292.0</v>
      </c>
      <c r="R11" s="1">
        <v>25460.3</v>
      </c>
      <c r="S11" s="1">
        <v>0.051</v>
      </c>
      <c r="T11" s="1">
        <v>0.0</v>
      </c>
      <c r="U11" s="1">
        <v>0.0</v>
      </c>
      <c r="V11" s="1">
        <v>26.0</v>
      </c>
      <c r="W11" s="1" t="s">
        <v>44</v>
      </c>
      <c r="X11" s="1" t="s">
        <v>44</v>
      </c>
      <c r="Y11" s="1" t="s">
        <v>109</v>
      </c>
      <c r="Z11" s="1" t="s">
        <v>35</v>
      </c>
      <c r="AA11" s="1">
        <v>4.93422705289863</v>
      </c>
      <c r="AB11" s="1">
        <v>3.50824895804978</v>
      </c>
      <c r="AC11" s="1">
        <v>9.01397454738617</v>
      </c>
      <c r="AD11" s="1">
        <v>4.73095042483659</v>
      </c>
      <c r="AE11" s="1" t="s">
        <v>84</v>
      </c>
    </row>
    <row r="12">
      <c r="A12" s="1">
        <v>12.0</v>
      </c>
      <c r="B12" s="1">
        <v>5.0</v>
      </c>
      <c r="C12" s="1">
        <v>6.09946641629177</v>
      </c>
      <c r="D12" s="1">
        <v>638.8</v>
      </c>
      <c r="E12" s="1" t="s">
        <v>31</v>
      </c>
      <c r="F12" s="1" t="s">
        <v>32</v>
      </c>
      <c r="G12" s="1">
        <v>5.65154846037792</v>
      </c>
      <c r="H12" s="1">
        <v>6.09946641629177</v>
      </c>
      <c r="I12" s="1" t="s">
        <v>33</v>
      </c>
      <c r="J12" s="1" t="s">
        <v>33</v>
      </c>
      <c r="K12" s="1">
        <v>9.50818549583143</v>
      </c>
      <c r="L12" s="1">
        <v>17.4103982052411</v>
      </c>
      <c r="M12" s="1" t="s">
        <v>125</v>
      </c>
      <c r="N12" s="1">
        <v>1.157</v>
      </c>
      <c r="O12" s="1">
        <v>1836.222148</v>
      </c>
      <c r="P12" s="1">
        <v>1.0</v>
      </c>
      <c r="Q12" s="1">
        <v>103.6</v>
      </c>
      <c r="R12" s="1">
        <v>638.8</v>
      </c>
      <c r="S12" s="1">
        <v>0.162</v>
      </c>
      <c r="T12" s="1">
        <v>1.43</v>
      </c>
      <c r="U12" s="1">
        <v>0.0</v>
      </c>
      <c r="V12" s="1">
        <v>5.0</v>
      </c>
      <c r="W12" s="1" t="s">
        <v>32</v>
      </c>
      <c r="X12" s="1" t="s">
        <v>32</v>
      </c>
      <c r="Y12" s="1" t="s">
        <v>125</v>
      </c>
      <c r="Z12" s="1" t="s">
        <v>35</v>
      </c>
      <c r="AA12" s="1">
        <v>4.26708173751831</v>
      </c>
      <c r="AB12" s="1">
        <v>3.06739282608032</v>
      </c>
      <c r="AC12" s="1">
        <v>14.4056262969971</v>
      </c>
      <c r="AD12" s="1">
        <v>3.15110206604004</v>
      </c>
      <c r="AE12" s="1" t="s">
        <v>125</v>
      </c>
    </row>
    <row r="13">
      <c r="A13" s="1">
        <v>14.0</v>
      </c>
      <c r="B13" s="1">
        <v>10.0</v>
      </c>
      <c r="C13" s="1">
        <v>18.0570556329413</v>
      </c>
      <c r="D13" s="1">
        <v>4268.6</v>
      </c>
      <c r="E13" s="1" t="s">
        <v>31</v>
      </c>
      <c r="F13" s="1" t="s">
        <v>32</v>
      </c>
      <c r="G13" s="1">
        <v>10.3302952523149</v>
      </c>
      <c r="H13" s="1">
        <v>21.6840043016709</v>
      </c>
      <c r="I13" s="1">
        <v>65.5280215908255</v>
      </c>
      <c r="J13" s="1" t="s">
        <v>33</v>
      </c>
      <c r="K13" s="1">
        <v>52.2742893718298</v>
      </c>
      <c r="L13" s="1">
        <v>29.4447385683175</v>
      </c>
      <c r="M13" s="1" t="s">
        <v>135</v>
      </c>
      <c r="N13" s="1">
        <v>2.409</v>
      </c>
      <c r="O13" s="1">
        <v>1571.25</v>
      </c>
      <c r="P13" s="1">
        <v>0.0</v>
      </c>
      <c r="Q13" s="1">
        <v>557.9</v>
      </c>
      <c r="R13" s="1">
        <v>4268.6</v>
      </c>
      <c r="S13" s="1">
        <v>0.131</v>
      </c>
      <c r="T13" s="1">
        <v>0.0</v>
      </c>
      <c r="U13" s="1">
        <v>0.0</v>
      </c>
      <c r="V13" s="1">
        <v>10.0</v>
      </c>
      <c r="W13" s="1" t="s">
        <v>32</v>
      </c>
      <c r="X13" s="1" t="s">
        <v>32</v>
      </c>
      <c r="Y13" s="1" t="s">
        <v>135</v>
      </c>
      <c r="Z13" s="1" t="s">
        <v>35</v>
      </c>
      <c r="AA13" s="1">
        <v>4.41558044297355</v>
      </c>
      <c r="AB13" s="1">
        <v>1.49538139734624</v>
      </c>
      <c r="AC13" s="1">
        <v>5.94950764519828</v>
      </c>
      <c r="AD13" s="1">
        <v>0.645454781182939</v>
      </c>
      <c r="AE13" s="1" t="s">
        <v>135</v>
      </c>
    </row>
    <row r="14">
      <c r="A14" s="1">
        <v>15.0</v>
      </c>
      <c r="B14" s="1">
        <v>12.0</v>
      </c>
      <c r="C14" s="1">
        <v>9.48691569112948</v>
      </c>
      <c r="D14" s="1">
        <v>1851.2</v>
      </c>
      <c r="E14" s="1" t="s">
        <v>36</v>
      </c>
      <c r="F14" s="1" t="s">
        <v>32</v>
      </c>
      <c r="G14" s="1">
        <v>6.21020665249287</v>
      </c>
      <c r="H14" s="1">
        <v>9.48691569112948</v>
      </c>
      <c r="I14" s="1" t="s">
        <v>33</v>
      </c>
      <c r="J14" s="1" t="s">
        <v>33</v>
      </c>
      <c r="K14" s="1">
        <v>43.5344908605889</v>
      </c>
      <c r="L14" s="1">
        <v>18.984499659733</v>
      </c>
      <c r="M14" s="1" t="s">
        <v>142</v>
      </c>
      <c r="N14" s="1">
        <v>1.359</v>
      </c>
      <c r="O14" s="1">
        <v>1390.5</v>
      </c>
      <c r="P14" s="1">
        <v>0.0</v>
      </c>
      <c r="Q14" s="1">
        <v>207.3</v>
      </c>
      <c r="R14" s="1">
        <v>1851.2</v>
      </c>
      <c r="S14" s="1">
        <v>0.112</v>
      </c>
      <c r="T14" s="1">
        <v>0.0</v>
      </c>
      <c r="U14" s="1">
        <v>3.48</v>
      </c>
      <c r="V14" s="1">
        <v>12.0</v>
      </c>
      <c r="W14" s="1" t="s">
        <v>32</v>
      </c>
      <c r="X14" s="1" t="s">
        <v>32</v>
      </c>
      <c r="Y14" s="1" t="s">
        <v>142</v>
      </c>
      <c r="Z14" s="1" t="s">
        <v>153</v>
      </c>
      <c r="AA14" s="1">
        <v>9.9544464747111</v>
      </c>
      <c r="AB14" s="1">
        <v>0.858609675353003</v>
      </c>
      <c r="AC14" s="1">
        <v>4.92746289571126</v>
      </c>
      <c r="AD14" s="1">
        <v>0.295205359065402</v>
      </c>
      <c r="AE14" s="1" t="s">
        <v>154</v>
      </c>
    </row>
    <row r="15">
      <c r="A15" s="1">
        <v>16.0</v>
      </c>
      <c r="B15" s="1">
        <v>31.0</v>
      </c>
      <c r="C15" s="1">
        <v>5.0779767787097</v>
      </c>
      <c r="D15" s="1">
        <v>2186.1</v>
      </c>
      <c r="E15" s="1" t="s">
        <v>36</v>
      </c>
      <c r="F15" s="1" t="s">
        <v>44</v>
      </c>
      <c r="G15" s="1">
        <v>4.19879014832576</v>
      </c>
      <c r="H15" s="1">
        <v>5.94848074153905</v>
      </c>
      <c r="I15" s="1" t="s">
        <v>33</v>
      </c>
      <c r="J15" s="1" t="s">
        <v>33</v>
      </c>
      <c r="K15" s="1">
        <v>10.1675640972841</v>
      </c>
      <c r="L15" s="1">
        <v>53.8639330872371</v>
      </c>
      <c r="M15" s="1" t="s">
        <v>159</v>
      </c>
      <c r="N15" s="1">
        <v>1.162</v>
      </c>
      <c r="O15" s="1">
        <v>1387.666667</v>
      </c>
      <c r="P15" s="1">
        <v>1.0</v>
      </c>
      <c r="Q15" s="1">
        <v>192.7</v>
      </c>
      <c r="R15" s="1">
        <v>2186.1</v>
      </c>
      <c r="S15" s="1">
        <v>0.088</v>
      </c>
      <c r="T15" s="1">
        <v>0.0</v>
      </c>
      <c r="U15" s="1">
        <v>0.0</v>
      </c>
      <c r="V15" s="1">
        <v>31.0</v>
      </c>
      <c r="W15" s="1" t="s">
        <v>44</v>
      </c>
      <c r="X15" s="1" t="s">
        <v>44</v>
      </c>
      <c r="Y15" s="1" t="s">
        <v>159</v>
      </c>
      <c r="Z15" s="1" t="s">
        <v>153</v>
      </c>
      <c r="AA15" s="1">
        <v>3.81581274668376</v>
      </c>
      <c r="AB15" s="1">
        <v>0.999881491766076</v>
      </c>
      <c r="AC15" s="1">
        <v>4.30541189511617</v>
      </c>
      <c r="AD15" s="1">
        <v>0.620953288423878</v>
      </c>
      <c r="AE15" s="1" t="s">
        <v>154</v>
      </c>
    </row>
    <row r="16">
      <c r="A16" s="1">
        <v>17.0</v>
      </c>
      <c r="B16" s="1">
        <v>13.0</v>
      </c>
      <c r="C16" s="1">
        <v>6.35085856312495</v>
      </c>
      <c r="D16" s="1">
        <v>1467.9</v>
      </c>
      <c r="E16" s="1" t="s">
        <v>36</v>
      </c>
      <c r="F16" s="1" t="s">
        <v>44</v>
      </c>
      <c r="G16" s="1">
        <v>5.31308254724563</v>
      </c>
      <c r="H16" s="1">
        <v>6.35085856312495</v>
      </c>
      <c r="I16" s="1" t="s">
        <v>33</v>
      </c>
      <c r="J16" s="1" t="s">
        <v>33</v>
      </c>
      <c r="K16" s="1">
        <v>17.4661219098318</v>
      </c>
      <c r="L16" s="1">
        <v>54.2141704543192</v>
      </c>
      <c r="M16" s="1" t="s">
        <v>163</v>
      </c>
      <c r="N16" s="1">
        <v>1.219</v>
      </c>
      <c r="O16" s="1">
        <v>1385.5</v>
      </c>
      <c r="P16" s="1">
        <v>1.0</v>
      </c>
      <c r="Q16" s="1">
        <v>165.5</v>
      </c>
      <c r="R16" s="1">
        <v>1467.9</v>
      </c>
      <c r="S16" s="1">
        <v>0.113</v>
      </c>
      <c r="T16" s="1">
        <v>0.0</v>
      </c>
      <c r="U16" s="1">
        <v>0.0</v>
      </c>
      <c r="V16" s="1">
        <v>13.0</v>
      </c>
      <c r="W16" s="1" t="s">
        <v>44</v>
      </c>
      <c r="X16" s="1" t="s">
        <v>44</v>
      </c>
      <c r="Y16" s="1" t="s">
        <v>163</v>
      </c>
      <c r="Z16" s="1" t="s">
        <v>153</v>
      </c>
      <c r="AA16" s="1">
        <v>5.2200620174408</v>
      </c>
      <c r="AB16" s="1">
        <v>0.757477521896362</v>
      </c>
      <c r="AC16" s="1">
        <v>6.7923424243927</v>
      </c>
      <c r="AD16" s="1">
        <v>1.98839259147644</v>
      </c>
      <c r="AE16" s="1" t="s">
        <v>154</v>
      </c>
    </row>
    <row r="17">
      <c r="A17" s="1">
        <v>18.0</v>
      </c>
      <c r="B17" s="1">
        <v>24.0</v>
      </c>
      <c r="C17" s="1">
        <v>6.98201673423063</v>
      </c>
      <c r="D17" s="1">
        <v>2283.7</v>
      </c>
      <c r="E17" s="1" t="s">
        <v>36</v>
      </c>
      <c r="F17" s="1" t="s">
        <v>44</v>
      </c>
      <c r="G17" s="1">
        <v>4.87734986100717</v>
      </c>
      <c r="H17" s="1">
        <v>9.17449075889303</v>
      </c>
      <c r="I17" s="1">
        <v>16.134333877381</v>
      </c>
      <c r="J17" s="1">
        <v>22.3256072144159</v>
      </c>
      <c r="K17" s="1">
        <v>17.3098433470929</v>
      </c>
      <c r="L17" s="1">
        <v>33.0080719906567</v>
      </c>
      <c r="M17" s="1" t="s">
        <v>165</v>
      </c>
      <c r="N17" s="1">
        <v>1.714</v>
      </c>
      <c r="O17" s="1">
        <v>1191.0</v>
      </c>
      <c r="P17" s="1">
        <v>1.0</v>
      </c>
      <c r="Q17" s="1">
        <v>290.3</v>
      </c>
      <c r="R17" s="1">
        <v>2283.7</v>
      </c>
      <c r="S17" s="1">
        <v>0.127</v>
      </c>
      <c r="T17" s="1">
        <v>0.0</v>
      </c>
      <c r="U17" s="1">
        <v>0.0</v>
      </c>
      <c r="V17" s="1">
        <v>23.0</v>
      </c>
      <c r="W17" s="1" t="s">
        <v>44</v>
      </c>
      <c r="X17" s="1" t="s">
        <v>44</v>
      </c>
      <c r="Y17" s="1" t="s">
        <v>165</v>
      </c>
      <c r="Z17" s="1" t="s">
        <v>35</v>
      </c>
      <c r="AA17" s="1">
        <v>12.5897375742594</v>
      </c>
      <c r="AB17" s="1">
        <v>2.09205910948089</v>
      </c>
      <c r="AC17" s="1">
        <v>10.9467878341675</v>
      </c>
      <c r="AD17" s="1">
        <v>2.20071532302895</v>
      </c>
      <c r="AE17" s="1" t="s">
        <v>165</v>
      </c>
    </row>
    <row r="18">
      <c r="A18" s="1">
        <v>19.0</v>
      </c>
      <c r="B18" s="1">
        <v>50.0</v>
      </c>
      <c r="C18" s="1">
        <v>6.2900155956027</v>
      </c>
      <c r="D18" s="1">
        <v>15241.0</v>
      </c>
      <c r="E18" s="1" t="s">
        <v>31</v>
      </c>
      <c r="F18" s="1" t="s">
        <v>169</v>
      </c>
      <c r="G18" s="1">
        <v>8.72954752550211</v>
      </c>
      <c r="H18" s="1">
        <v>6.2900155956027</v>
      </c>
      <c r="I18" s="1" t="s">
        <v>33</v>
      </c>
      <c r="J18" s="1" t="s">
        <v>33</v>
      </c>
      <c r="K18" s="1">
        <v>15.778206853097</v>
      </c>
      <c r="L18" s="1">
        <v>62.3663237788903</v>
      </c>
      <c r="M18" s="1" t="s">
        <v>170</v>
      </c>
      <c r="N18" s="1">
        <v>1.313</v>
      </c>
      <c r="O18" s="1">
        <v>1622.956522</v>
      </c>
      <c r="P18" s="1">
        <v>1.0</v>
      </c>
      <c r="Q18" s="1">
        <v>574.8</v>
      </c>
      <c r="R18" s="1">
        <v>15241.0</v>
      </c>
      <c r="S18" s="1">
        <v>0.038</v>
      </c>
      <c r="T18" s="1">
        <v>0.0</v>
      </c>
      <c r="U18" s="1">
        <v>95.62</v>
      </c>
      <c r="V18" s="1">
        <v>50.0</v>
      </c>
      <c r="W18" s="1" t="s">
        <v>44</v>
      </c>
      <c r="X18" s="1" t="s">
        <v>44</v>
      </c>
      <c r="Y18" s="1" t="s">
        <v>170</v>
      </c>
      <c r="Z18" s="1" t="s">
        <v>153</v>
      </c>
      <c r="AA18" s="1">
        <v>10.8323891544342</v>
      </c>
      <c r="AB18" s="1">
        <v>3.78103023853298</v>
      </c>
      <c r="AC18" s="1">
        <v>11.1744252586365</v>
      </c>
      <c r="AD18" s="1">
        <v>4.02104017273484</v>
      </c>
      <c r="AE18" s="1" t="s">
        <v>170</v>
      </c>
    </row>
    <row r="19">
      <c r="A19" s="1">
        <v>20.0</v>
      </c>
      <c r="B19" s="1">
        <v>20.0</v>
      </c>
      <c r="C19" s="1">
        <v>6.97704574748311</v>
      </c>
      <c r="D19" s="1">
        <v>4449.5</v>
      </c>
      <c r="E19" s="1" t="s">
        <v>36</v>
      </c>
      <c r="F19" s="1" t="s">
        <v>44</v>
      </c>
      <c r="G19" s="1">
        <v>7.45779793236583</v>
      </c>
      <c r="H19" s="1">
        <v>9.93348037194217</v>
      </c>
      <c r="I19" s="1">
        <v>71.7715022790324</v>
      </c>
      <c r="J19" s="1" t="s">
        <v>33</v>
      </c>
      <c r="K19" s="1">
        <v>34.2642418484785</v>
      </c>
      <c r="L19" s="1">
        <v>43.3221697731326</v>
      </c>
      <c r="M19" s="1" t="s">
        <v>178</v>
      </c>
      <c r="N19" s="1">
        <v>2.483</v>
      </c>
      <c r="O19" s="1">
        <v>1510.5</v>
      </c>
      <c r="P19" s="1">
        <v>1.0</v>
      </c>
      <c r="Q19" s="1">
        <v>587.2</v>
      </c>
      <c r="R19" s="1">
        <v>4449.5</v>
      </c>
      <c r="S19" s="1">
        <v>0.132</v>
      </c>
      <c r="T19" s="1">
        <v>0.0</v>
      </c>
      <c r="U19" s="1">
        <v>0.0</v>
      </c>
      <c r="V19" s="1">
        <v>21.0</v>
      </c>
      <c r="W19" s="1" t="s">
        <v>44</v>
      </c>
      <c r="X19" s="1" t="s">
        <v>44</v>
      </c>
      <c r="Y19" s="1" t="s">
        <v>178</v>
      </c>
      <c r="Z19" s="1" t="s">
        <v>35</v>
      </c>
      <c r="AA19" s="1">
        <v>6.90866953134537</v>
      </c>
      <c r="AB19" s="1">
        <v>2.26504881588453</v>
      </c>
      <c r="AC19" s="1">
        <v>10.8271343708038</v>
      </c>
      <c r="AD19" s="1">
        <v>1.38221272586605</v>
      </c>
      <c r="AE19" s="1" t="s">
        <v>178</v>
      </c>
    </row>
    <row r="20">
      <c r="A20" s="1">
        <v>21.0</v>
      </c>
      <c r="B20" s="1">
        <v>5.0</v>
      </c>
      <c r="C20" s="1">
        <v>115.356948542315</v>
      </c>
      <c r="D20" s="1">
        <v>3978.3</v>
      </c>
      <c r="E20" s="1" t="s">
        <v>31</v>
      </c>
      <c r="F20" s="1" t="s">
        <v>32</v>
      </c>
      <c r="G20" s="1">
        <v>14.1037229127631</v>
      </c>
      <c r="H20" s="1">
        <v>36.4902640216374</v>
      </c>
      <c r="I20" s="1">
        <v>520.335966640389</v>
      </c>
      <c r="J20" s="1" t="s">
        <v>33</v>
      </c>
      <c r="K20" s="1">
        <v>19.1741508930153</v>
      </c>
      <c r="L20" s="1">
        <v>29.6068986643224</v>
      </c>
      <c r="M20" s="1" t="s">
        <v>185</v>
      </c>
      <c r="N20" s="1">
        <v>1.316</v>
      </c>
      <c r="O20" s="1">
        <v>1426.0</v>
      </c>
      <c r="P20" s="1">
        <v>0.0</v>
      </c>
      <c r="Q20" s="1">
        <v>294.2</v>
      </c>
      <c r="R20" s="1">
        <v>3978.3</v>
      </c>
      <c r="S20" s="1">
        <v>0.074</v>
      </c>
      <c r="T20" s="1">
        <v>0.0</v>
      </c>
      <c r="U20" s="1">
        <v>10.52</v>
      </c>
      <c r="V20" s="1">
        <v>4.0</v>
      </c>
      <c r="W20" s="1" t="s">
        <v>32</v>
      </c>
      <c r="X20" s="1" t="s">
        <v>32</v>
      </c>
      <c r="Y20" s="1" t="s">
        <v>185</v>
      </c>
      <c r="Z20" s="1" t="s">
        <v>35</v>
      </c>
      <c r="AA20" s="1">
        <v>16.6352438926697</v>
      </c>
      <c r="AB20" s="1">
        <v>1.61783146949475</v>
      </c>
      <c r="AC20" s="1">
        <v>9.22768302758535</v>
      </c>
      <c r="AD20" s="1">
        <v>4.95925546100861</v>
      </c>
      <c r="AE20" s="1" t="s">
        <v>189</v>
      </c>
    </row>
    <row r="21" ht="15.75" customHeight="1">
      <c r="A21" s="1">
        <v>25.0</v>
      </c>
      <c r="B21" s="1">
        <v>17.0</v>
      </c>
      <c r="C21" s="1">
        <v>7.29949992713903</v>
      </c>
      <c r="D21" s="1">
        <v>1437.0</v>
      </c>
      <c r="E21" s="1" t="s">
        <v>36</v>
      </c>
      <c r="F21" s="1" t="s">
        <v>37</v>
      </c>
      <c r="G21" s="1">
        <v>4.59699390266906</v>
      </c>
      <c r="H21" s="1">
        <v>11.1490649188841</v>
      </c>
      <c r="I21" s="1">
        <v>25.8405362561773</v>
      </c>
      <c r="J21" s="1" t="s">
        <v>33</v>
      </c>
      <c r="K21" s="1">
        <v>21.4993804157937</v>
      </c>
      <c r="L21" s="1">
        <v>151.994643758897</v>
      </c>
      <c r="M21" s="1" t="s">
        <v>192</v>
      </c>
      <c r="N21" s="1">
        <v>1.306</v>
      </c>
      <c r="O21" s="1">
        <v>1550.666667</v>
      </c>
      <c r="P21" s="1">
        <v>0.0</v>
      </c>
      <c r="Q21" s="1">
        <v>175.5</v>
      </c>
      <c r="R21" s="1">
        <v>1437.0</v>
      </c>
      <c r="S21" s="1">
        <v>0.122</v>
      </c>
      <c r="T21" s="1">
        <v>0.0</v>
      </c>
      <c r="U21" s="1">
        <v>0.94</v>
      </c>
      <c r="V21" s="1">
        <v>5.0</v>
      </c>
      <c r="W21" s="1" t="s">
        <v>37</v>
      </c>
      <c r="X21" s="1" t="s">
        <v>37</v>
      </c>
      <c r="Y21" s="1" t="s">
        <v>192</v>
      </c>
      <c r="Z21" s="1" t="s">
        <v>35</v>
      </c>
      <c r="AA21" s="1">
        <v>9.34798669815063</v>
      </c>
      <c r="AB21" s="1">
        <v>0.643876552581787</v>
      </c>
      <c r="AC21" s="1">
        <v>4.31929755210876</v>
      </c>
      <c r="AD21" s="1">
        <v>1.69811034202576</v>
      </c>
      <c r="AE21" s="1" t="s">
        <v>194</v>
      </c>
    </row>
    <row r="22" ht="15.75" customHeight="1">
      <c r="A22" s="1">
        <v>26.0</v>
      </c>
      <c r="B22" s="1">
        <v>18.0</v>
      </c>
      <c r="C22" s="1">
        <v>5.76070308729492</v>
      </c>
      <c r="D22" s="1">
        <v>297.9</v>
      </c>
      <c r="E22" s="1" t="s">
        <v>36</v>
      </c>
      <c r="F22" s="1" t="s">
        <v>44</v>
      </c>
      <c r="G22" s="1">
        <v>2.0340845606808</v>
      </c>
      <c r="H22" s="1">
        <v>10.1692412837634</v>
      </c>
      <c r="I22" s="1">
        <v>25.1463191601476</v>
      </c>
      <c r="J22" s="1" t="s">
        <v>33</v>
      </c>
      <c r="K22" s="1">
        <v>4.94406532805795</v>
      </c>
      <c r="L22" s="1">
        <v>28.2350844998598</v>
      </c>
      <c r="M22" s="1" t="s">
        <v>199</v>
      </c>
      <c r="N22" s="1">
        <v>1.132</v>
      </c>
      <c r="O22" s="1">
        <v>1551.162286</v>
      </c>
      <c r="P22" s="1">
        <v>0.0</v>
      </c>
      <c r="Q22" s="1">
        <v>69.3</v>
      </c>
      <c r="R22" s="1">
        <v>297.9</v>
      </c>
      <c r="S22" s="1">
        <v>0.233</v>
      </c>
      <c r="T22" s="1">
        <v>0.0</v>
      </c>
      <c r="U22" s="1">
        <v>4.0</v>
      </c>
      <c r="V22" s="1">
        <v>4.0</v>
      </c>
      <c r="W22" s="1" t="s">
        <v>44</v>
      </c>
      <c r="X22" s="1" t="s">
        <v>44</v>
      </c>
      <c r="Y22" s="1" t="s">
        <v>199</v>
      </c>
      <c r="Z22" s="1" t="s">
        <v>35</v>
      </c>
      <c r="AA22" s="1">
        <v>9.10563671677815</v>
      </c>
      <c r="AB22" s="1">
        <v>0.534187086612406</v>
      </c>
      <c r="AC22" s="1">
        <v>3.48548380571736</v>
      </c>
      <c r="AD22" s="1">
        <v>1.36320341499459</v>
      </c>
      <c r="AE22" s="1" t="s">
        <v>194</v>
      </c>
    </row>
    <row r="23" ht="15.75" customHeight="1">
      <c r="A23" s="1">
        <v>27.0</v>
      </c>
      <c r="B23" s="1">
        <v>7.0</v>
      </c>
      <c r="C23" s="1">
        <v>18.4370013315156</v>
      </c>
      <c r="D23" s="1">
        <v>1356.3</v>
      </c>
      <c r="E23" s="1" t="s">
        <v>36</v>
      </c>
      <c r="F23" s="1" t="s">
        <v>37</v>
      </c>
      <c r="G23" s="1">
        <v>6.95983374185661</v>
      </c>
      <c r="H23" s="1">
        <v>28.4411267355667</v>
      </c>
      <c r="I23" s="1" t="s">
        <v>33</v>
      </c>
      <c r="J23" s="1" t="s">
        <v>33</v>
      </c>
      <c r="K23" s="1">
        <v>26.5290451957365</v>
      </c>
      <c r="L23" s="1">
        <v>84.3168918564588</v>
      </c>
      <c r="M23" s="1" t="s">
        <v>214</v>
      </c>
      <c r="N23" s="1">
        <v>1.597</v>
      </c>
      <c r="O23" s="1">
        <v>1553.333333</v>
      </c>
      <c r="P23" s="1">
        <v>0.0</v>
      </c>
      <c r="Q23" s="1">
        <v>208.5</v>
      </c>
      <c r="R23" s="1">
        <v>1356.3</v>
      </c>
      <c r="S23" s="1">
        <v>0.154</v>
      </c>
      <c r="T23" s="1">
        <v>0.0</v>
      </c>
      <c r="U23" s="1">
        <v>0.0</v>
      </c>
      <c r="V23" s="1">
        <v>5.0</v>
      </c>
      <c r="W23" s="1" t="s">
        <v>37</v>
      </c>
      <c r="X23" s="1" t="s">
        <v>37</v>
      </c>
      <c r="Y23" s="1" t="s">
        <v>214</v>
      </c>
      <c r="Z23" s="1" t="s">
        <v>35</v>
      </c>
      <c r="AA23" s="1">
        <v>10.0295882225037</v>
      </c>
      <c r="AB23" s="1">
        <v>0.107149600982666</v>
      </c>
      <c r="AC23" s="1">
        <v>2.58249646425247</v>
      </c>
      <c r="AD23" s="1">
        <v>0.708566606044769</v>
      </c>
      <c r="AE23" s="1" t="s">
        <v>194</v>
      </c>
    </row>
    <row r="24" ht="15.75" customHeight="1">
      <c r="A24" s="1">
        <v>28.0</v>
      </c>
      <c r="B24" s="1">
        <v>25.0</v>
      </c>
      <c r="C24" s="1">
        <v>5.89767821974645</v>
      </c>
      <c r="D24" s="1">
        <v>2623.2</v>
      </c>
      <c r="E24" s="1" t="s">
        <v>36</v>
      </c>
      <c r="F24" s="1" t="s">
        <v>44</v>
      </c>
      <c r="G24" s="1">
        <v>5.12171846161032</v>
      </c>
      <c r="H24" s="1">
        <v>10.2477004265818</v>
      </c>
      <c r="I24" s="1">
        <v>15.062176112159</v>
      </c>
      <c r="J24" s="1" t="s">
        <v>33</v>
      </c>
      <c r="K24" s="1">
        <v>13.254283403486</v>
      </c>
      <c r="L24" s="1">
        <v>19.0643012696834</v>
      </c>
      <c r="M24" s="1" t="s">
        <v>223</v>
      </c>
      <c r="N24" s="1">
        <v>1.485</v>
      </c>
      <c r="O24" s="1">
        <v>1542.5</v>
      </c>
      <c r="P24" s="1">
        <v>0.0</v>
      </c>
      <c r="Q24" s="1">
        <v>269.6</v>
      </c>
      <c r="R24" s="1">
        <v>2623.2</v>
      </c>
      <c r="S24" s="1">
        <v>0.103</v>
      </c>
      <c r="T24" s="1">
        <v>0.0</v>
      </c>
      <c r="U24" s="1">
        <v>0.0</v>
      </c>
      <c r="V24" s="1">
        <v>22.0</v>
      </c>
      <c r="W24" s="1" t="s">
        <v>44</v>
      </c>
      <c r="X24" s="1" t="s">
        <v>44</v>
      </c>
      <c r="Y24" s="1" t="s">
        <v>223</v>
      </c>
      <c r="Z24" s="1" t="s">
        <v>35</v>
      </c>
      <c r="AA24" s="1">
        <v>11.8728539148966</v>
      </c>
      <c r="AB24" s="1">
        <v>0.411768074258811</v>
      </c>
      <c r="AC24" s="1">
        <v>4.04327257474263</v>
      </c>
      <c r="AD24" s="1">
        <v>0.713646903677497</v>
      </c>
      <c r="AE24" s="1" t="s">
        <v>194</v>
      </c>
    </row>
    <row r="25" ht="15.75" customHeight="1">
      <c r="A25" s="1">
        <v>29.0</v>
      </c>
      <c r="B25" s="1">
        <v>11.0</v>
      </c>
      <c r="C25" s="1">
        <v>9.68788039896515</v>
      </c>
      <c r="D25" s="1">
        <v>802.0</v>
      </c>
      <c r="E25" s="1" t="s">
        <v>36</v>
      </c>
      <c r="F25" s="1" t="s">
        <v>37</v>
      </c>
      <c r="G25" s="1">
        <v>4.26934101791749</v>
      </c>
      <c r="H25" s="1">
        <v>9.89924831106451</v>
      </c>
      <c r="I25" s="1" t="s">
        <v>33</v>
      </c>
      <c r="J25" s="1" t="s">
        <v>33</v>
      </c>
      <c r="K25" s="1">
        <v>12.6535451566049</v>
      </c>
      <c r="L25" s="1">
        <v>55.9409443464434</v>
      </c>
      <c r="M25" s="1" t="s">
        <v>245</v>
      </c>
      <c r="N25" s="1">
        <v>1.3</v>
      </c>
      <c r="O25" s="1">
        <v>1624.614119</v>
      </c>
      <c r="P25" s="1">
        <v>0.0</v>
      </c>
      <c r="Q25" s="1">
        <v>130.5</v>
      </c>
      <c r="R25" s="1">
        <v>802.0</v>
      </c>
      <c r="S25" s="1">
        <v>0.163</v>
      </c>
      <c r="T25" s="1">
        <v>0.0</v>
      </c>
      <c r="U25" s="1">
        <v>0.0</v>
      </c>
      <c r="V25" s="1">
        <v>7.0</v>
      </c>
      <c r="W25" s="1" t="s">
        <v>37</v>
      </c>
      <c r="X25" s="1" t="s">
        <v>37</v>
      </c>
      <c r="Y25" s="1" t="s">
        <v>245</v>
      </c>
      <c r="Z25" s="1" t="s">
        <v>35</v>
      </c>
      <c r="AA25" s="1">
        <v>15.0884718894958</v>
      </c>
      <c r="AB25" s="1">
        <v>0.586377620697021</v>
      </c>
      <c r="AC25" s="1">
        <v>3.8121827840805</v>
      </c>
      <c r="AD25" s="1">
        <v>0.312471985816956</v>
      </c>
      <c r="AE25" s="1" t="s">
        <v>246</v>
      </c>
    </row>
    <row r="26" ht="15.75" customHeight="1">
      <c r="A26" s="1">
        <v>30.0</v>
      </c>
      <c r="B26" s="1">
        <v>10.0</v>
      </c>
      <c r="C26" s="1">
        <v>2.14758001392127</v>
      </c>
      <c r="D26" s="1">
        <v>248.1</v>
      </c>
      <c r="E26" s="1" t="s">
        <v>36</v>
      </c>
      <c r="F26" s="1" t="s">
        <v>37</v>
      </c>
      <c r="G26" s="1">
        <v>2.49048188108245</v>
      </c>
      <c r="H26" s="1">
        <v>8.07355039018263</v>
      </c>
      <c r="I26" s="1">
        <v>11.806408730419</v>
      </c>
      <c r="J26" s="1" t="s">
        <v>33</v>
      </c>
      <c r="K26" s="1">
        <v>4.86589733496238</v>
      </c>
      <c r="L26" s="1">
        <v>102.282214370216</v>
      </c>
      <c r="M26" s="1" t="s">
        <v>253</v>
      </c>
      <c r="N26" s="1">
        <v>1.179</v>
      </c>
      <c r="O26" s="1">
        <v>1676.034051</v>
      </c>
      <c r="P26" s="1">
        <v>0.0</v>
      </c>
      <c r="Q26" s="1">
        <v>65.8</v>
      </c>
      <c r="R26" s="1">
        <v>248.1</v>
      </c>
      <c r="S26" s="1">
        <v>0.265</v>
      </c>
      <c r="T26" s="1">
        <v>0.0</v>
      </c>
      <c r="U26" s="1">
        <v>0.0</v>
      </c>
      <c r="V26" s="1">
        <v>6.0</v>
      </c>
      <c r="W26" s="1" t="s">
        <v>37</v>
      </c>
      <c r="X26" s="1" t="s">
        <v>37</v>
      </c>
      <c r="Y26" s="1" t="s">
        <v>253</v>
      </c>
      <c r="Z26" s="1" t="s">
        <v>35</v>
      </c>
      <c r="AA26" s="1">
        <v>10.9008183484103</v>
      </c>
      <c r="AB26" s="1">
        <v>2.23918261441113</v>
      </c>
      <c r="AC26" s="1">
        <v>9.68747920771627</v>
      </c>
      <c r="AD26" s="1">
        <v>1.14179273351937</v>
      </c>
      <c r="AE26" s="1" t="s">
        <v>246</v>
      </c>
    </row>
    <row r="27" ht="15.75" customHeight="1">
      <c r="A27" s="1">
        <v>31.0</v>
      </c>
      <c r="B27" s="1">
        <v>4.0</v>
      </c>
      <c r="C27" s="1">
        <v>7.65453720763633</v>
      </c>
      <c r="D27" s="1">
        <v>275.7</v>
      </c>
      <c r="E27" s="1" t="s">
        <v>36</v>
      </c>
      <c r="F27" s="1" t="s">
        <v>32</v>
      </c>
      <c r="G27" s="1">
        <v>4.15105408300109</v>
      </c>
      <c r="H27" s="1">
        <v>14.416381452399</v>
      </c>
      <c r="I27" s="1" t="s">
        <v>33</v>
      </c>
      <c r="J27" s="1" t="s">
        <v>33</v>
      </c>
      <c r="K27" s="1">
        <v>5.68556671576282</v>
      </c>
      <c r="L27" s="1">
        <v>13.4697599799374</v>
      </c>
      <c r="M27" s="1" t="s">
        <v>262</v>
      </c>
      <c r="N27" s="1">
        <v>1.27</v>
      </c>
      <c r="O27" s="1">
        <v>927.0</v>
      </c>
      <c r="P27" s="1">
        <v>0.0</v>
      </c>
      <c r="Q27" s="1">
        <v>74.7</v>
      </c>
      <c r="R27" s="1">
        <v>275.7</v>
      </c>
      <c r="S27" s="1">
        <v>0.271</v>
      </c>
      <c r="T27" s="1">
        <v>0.0</v>
      </c>
      <c r="U27" s="1">
        <v>5.83</v>
      </c>
      <c r="V27" s="1">
        <v>3.0</v>
      </c>
      <c r="W27" s="1" t="s">
        <v>32</v>
      </c>
      <c r="X27" s="1" t="s">
        <v>32</v>
      </c>
      <c r="Y27" s="1" t="s">
        <v>262</v>
      </c>
      <c r="Z27" s="1" t="s">
        <v>35</v>
      </c>
      <c r="AA27" s="1">
        <v>2.32294156363106</v>
      </c>
      <c r="AB27" s="1">
        <v>0.647339653590549</v>
      </c>
      <c r="AC27" s="1">
        <v>11.3070671032476</v>
      </c>
      <c r="AD27" s="1">
        <v>3.97317802474196</v>
      </c>
      <c r="AE27" s="1" t="s">
        <v>271</v>
      </c>
    </row>
    <row r="28" ht="15.75" customHeight="1">
      <c r="A28" s="1">
        <v>32.0</v>
      </c>
      <c r="B28" s="1">
        <v>3.0</v>
      </c>
      <c r="C28" s="1">
        <v>8.0908723713593</v>
      </c>
      <c r="D28" s="1">
        <v>458.6</v>
      </c>
      <c r="E28" s="1" t="s">
        <v>31</v>
      </c>
      <c r="F28" s="1" t="s">
        <v>32</v>
      </c>
      <c r="G28" s="1">
        <v>6.18196301078118</v>
      </c>
      <c r="H28" s="1">
        <v>8.0908723713593</v>
      </c>
      <c r="I28" s="1" t="s">
        <v>33</v>
      </c>
      <c r="J28" s="1" t="s">
        <v>33</v>
      </c>
      <c r="K28" s="1">
        <v>68.4050624992186</v>
      </c>
      <c r="L28" s="1">
        <v>188.349616607899</v>
      </c>
      <c r="M28" s="1" t="s">
        <v>276</v>
      </c>
      <c r="N28" s="1">
        <v>1.276</v>
      </c>
      <c r="O28" s="1">
        <v>931.3160413</v>
      </c>
      <c r="P28" s="1">
        <v>0.0</v>
      </c>
      <c r="Q28" s="1">
        <v>96.9</v>
      </c>
      <c r="R28" s="1">
        <v>458.6</v>
      </c>
      <c r="S28" s="1">
        <v>0.211</v>
      </c>
      <c r="T28" s="1">
        <v>49.62</v>
      </c>
      <c r="U28" s="1">
        <v>125.99</v>
      </c>
      <c r="V28" s="1">
        <v>3.0</v>
      </c>
      <c r="W28" s="1" t="s">
        <v>32</v>
      </c>
      <c r="X28" s="1" t="s">
        <v>32</v>
      </c>
      <c r="Y28" s="1" t="s">
        <v>276</v>
      </c>
      <c r="Z28" s="1" t="s">
        <v>35</v>
      </c>
      <c r="AA28" s="1">
        <v>3.56725904712015</v>
      </c>
      <c r="AB28" s="1">
        <v>0.762827351297956</v>
      </c>
      <c r="AC28" s="1">
        <v>3.41998279816306</v>
      </c>
      <c r="AD28" s="1">
        <v>0.47190075657591</v>
      </c>
      <c r="AE28" s="1" t="s">
        <v>271</v>
      </c>
    </row>
    <row r="29" ht="15.75" customHeight="1">
      <c r="A29" s="1">
        <v>33.0</v>
      </c>
      <c r="B29" s="1">
        <v>21.0</v>
      </c>
      <c r="C29" s="1">
        <v>8.09053820502919</v>
      </c>
      <c r="D29" s="1">
        <v>4346.6</v>
      </c>
      <c r="E29" s="1" t="s">
        <v>36</v>
      </c>
      <c r="F29" s="1" t="s">
        <v>169</v>
      </c>
      <c r="G29" s="1">
        <v>7.19341630209444</v>
      </c>
      <c r="H29" s="1">
        <v>11.8918185587724</v>
      </c>
      <c r="I29" s="1" t="s">
        <v>33</v>
      </c>
      <c r="J29" s="1">
        <v>27.3535539875909</v>
      </c>
      <c r="K29" s="1">
        <v>22.3733848946547</v>
      </c>
      <c r="L29" s="1">
        <v>37.8655037483383</v>
      </c>
      <c r="M29" s="1" t="s">
        <v>286</v>
      </c>
      <c r="N29" s="1">
        <v>1.745</v>
      </c>
      <c r="O29" s="1">
        <v>1579.5</v>
      </c>
      <c r="P29" s="1">
        <v>1.0</v>
      </c>
      <c r="Q29" s="1">
        <v>407.7</v>
      </c>
      <c r="R29" s="1">
        <v>4346.6</v>
      </c>
      <c r="S29" s="1">
        <v>0.094</v>
      </c>
      <c r="T29" s="1">
        <v>0.0</v>
      </c>
      <c r="U29" s="1">
        <v>22.19</v>
      </c>
      <c r="V29" s="1">
        <v>21.0</v>
      </c>
      <c r="W29" s="1" t="s">
        <v>44</v>
      </c>
      <c r="X29" s="1" t="s">
        <v>44</v>
      </c>
      <c r="Y29" s="1" t="s">
        <v>286</v>
      </c>
      <c r="Z29" s="1" t="s">
        <v>153</v>
      </c>
      <c r="AA29" s="1">
        <v>8.19870382547379</v>
      </c>
      <c r="AB29" s="1">
        <v>1.31611971371872</v>
      </c>
      <c r="AC29" s="1">
        <v>6.0643602013588</v>
      </c>
      <c r="AD29" s="1">
        <v>1.33555399373825</v>
      </c>
      <c r="AE29" s="1" t="s">
        <v>286</v>
      </c>
    </row>
    <row r="30" ht="15.75" customHeight="1">
      <c r="A30" s="1">
        <v>34.0</v>
      </c>
      <c r="B30" s="1">
        <v>35.0</v>
      </c>
      <c r="C30" s="1">
        <v>7.47192163258765</v>
      </c>
      <c r="D30" s="1">
        <v>6668.7</v>
      </c>
      <c r="E30" s="1" t="s">
        <v>31</v>
      </c>
      <c r="F30" s="1" t="s">
        <v>169</v>
      </c>
      <c r="G30" s="1">
        <v>6.90170786317209</v>
      </c>
      <c r="H30" s="1">
        <v>7.47192163258765</v>
      </c>
      <c r="I30" s="1" t="s">
        <v>33</v>
      </c>
      <c r="J30" s="1" t="s">
        <v>33</v>
      </c>
      <c r="K30" s="1">
        <v>60.8970335204158</v>
      </c>
      <c r="L30" s="1">
        <v>71.9485895656966</v>
      </c>
      <c r="M30" s="1" t="s">
        <v>300</v>
      </c>
      <c r="N30" s="1">
        <v>1.245</v>
      </c>
      <c r="O30" s="1">
        <v>1754.0</v>
      </c>
      <c r="P30" s="1">
        <v>1.0</v>
      </c>
      <c r="Q30" s="1">
        <v>360.3</v>
      </c>
      <c r="R30" s="1">
        <v>6668.7</v>
      </c>
      <c r="S30" s="1">
        <v>0.054</v>
      </c>
      <c r="T30" s="1">
        <v>0.0</v>
      </c>
      <c r="U30" s="1">
        <v>63.77</v>
      </c>
      <c r="V30" s="1">
        <v>35.0</v>
      </c>
      <c r="W30" s="1" t="s">
        <v>44</v>
      </c>
      <c r="X30" s="1" t="s">
        <v>44</v>
      </c>
      <c r="Y30" s="1" t="s">
        <v>300</v>
      </c>
      <c r="Z30" s="1" t="s">
        <v>153</v>
      </c>
      <c r="AA30" s="1">
        <v>15.4360058784485</v>
      </c>
      <c r="AB30" s="1">
        <v>4.93506378829066</v>
      </c>
      <c r="AC30" s="1">
        <v>14.2638394355774</v>
      </c>
      <c r="AD30" s="1">
        <v>2.33222737727159</v>
      </c>
      <c r="AE30" s="1" t="s">
        <v>300</v>
      </c>
    </row>
    <row r="31" ht="15.75" customHeight="1">
      <c r="A31" s="1">
        <v>35.0</v>
      </c>
      <c r="B31" s="1">
        <v>22.0</v>
      </c>
      <c r="C31" s="1">
        <v>3.89989540041957</v>
      </c>
      <c r="D31" s="1">
        <v>9319.6</v>
      </c>
      <c r="E31" s="1" t="s">
        <v>31</v>
      </c>
      <c r="F31" s="1" t="s">
        <v>37</v>
      </c>
      <c r="G31" s="1">
        <v>10.290993414367</v>
      </c>
      <c r="H31" s="1">
        <v>9.98127462089838</v>
      </c>
      <c r="I31" s="1">
        <v>63.3166538481588</v>
      </c>
      <c r="J31" s="1" t="s">
        <v>33</v>
      </c>
      <c r="K31" s="1">
        <v>22.3026981893614</v>
      </c>
      <c r="L31" s="1">
        <v>58.1504180482199</v>
      </c>
      <c r="M31" s="1" t="s">
        <v>314</v>
      </c>
      <c r="N31" s="1">
        <v>2.131</v>
      </c>
      <c r="O31" s="1">
        <v>1569.875</v>
      </c>
      <c r="P31" s="1">
        <v>0.0</v>
      </c>
      <c r="Q31" s="1">
        <v>729.4</v>
      </c>
      <c r="R31" s="1">
        <v>9319.6</v>
      </c>
      <c r="S31" s="1">
        <v>0.078</v>
      </c>
      <c r="T31" s="1">
        <v>0.0</v>
      </c>
      <c r="U31" s="1">
        <v>0.0</v>
      </c>
      <c r="V31" s="1">
        <v>22.0</v>
      </c>
      <c r="W31" s="1" t="s">
        <v>37</v>
      </c>
      <c r="X31" s="1" t="s">
        <v>37</v>
      </c>
      <c r="Y31" s="1" t="s">
        <v>314</v>
      </c>
      <c r="Z31" s="1" t="s">
        <v>35</v>
      </c>
      <c r="AA31" s="1">
        <v>11.1413839203971</v>
      </c>
      <c r="AB31" s="1">
        <v>6.038281777237</v>
      </c>
      <c r="AC31" s="1">
        <v>5.95683661528996</v>
      </c>
      <c r="AD31" s="1">
        <v>1.8757334859059</v>
      </c>
      <c r="AE31" s="1" t="s">
        <v>314</v>
      </c>
    </row>
    <row r="32" ht="15.75" customHeight="1">
      <c r="A32" s="1">
        <v>36.0</v>
      </c>
      <c r="B32" s="1">
        <v>13.0</v>
      </c>
      <c r="C32" s="1">
        <v>1.94101480704684</v>
      </c>
      <c r="D32" s="1">
        <v>593.3</v>
      </c>
      <c r="E32" s="1" t="s">
        <v>31</v>
      </c>
      <c r="F32" s="1" t="s">
        <v>37</v>
      </c>
      <c r="G32" s="1">
        <v>3.37781221867282</v>
      </c>
      <c r="H32" s="1">
        <v>8.05858742516561</v>
      </c>
      <c r="I32" s="1">
        <v>5.61021790841966</v>
      </c>
      <c r="J32" s="1" t="s">
        <v>33</v>
      </c>
      <c r="K32" s="1">
        <v>14.7380260215459</v>
      </c>
      <c r="L32" s="1">
        <v>27.6617007614197</v>
      </c>
      <c r="M32" s="1" t="s">
        <v>329</v>
      </c>
      <c r="N32" s="1">
        <v>1.575</v>
      </c>
      <c r="O32" s="1">
        <v>1386.8588</v>
      </c>
      <c r="P32" s="1">
        <v>0.0</v>
      </c>
      <c r="Q32" s="1">
        <v>136.0</v>
      </c>
      <c r="R32" s="1">
        <v>593.3</v>
      </c>
      <c r="S32" s="1">
        <v>0.229</v>
      </c>
      <c r="T32" s="1">
        <v>0.0</v>
      </c>
      <c r="U32" s="1">
        <v>14.83</v>
      </c>
      <c r="V32" s="1">
        <v>13.0</v>
      </c>
      <c r="W32" s="1" t="s">
        <v>37</v>
      </c>
      <c r="X32" s="1" t="s">
        <v>37</v>
      </c>
      <c r="Y32" s="1" t="s">
        <v>329</v>
      </c>
      <c r="Z32" s="1" t="s">
        <v>35</v>
      </c>
      <c r="AA32" s="1">
        <v>22.3511867523193</v>
      </c>
      <c r="AB32" s="1">
        <v>3.34807205200195</v>
      </c>
      <c r="AC32" s="1">
        <v>27.929986000061</v>
      </c>
      <c r="AD32" s="1">
        <v>0.847477912902832</v>
      </c>
      <c r="AE32" s="1" t="s">
        <v>189</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39</v>
      </c>
      <c r="C1" s="1" t="s">
        <v>40</v>
      </c>
      <c r="D1" s="1" t="s">
        <v>41</v>
      </c>
      <c r="E1" s="1" t="s">
        <v>42</v>
      </c>
      <c r="F1" s="1" t="s">
        <v>43</v>
      </c>
      <c r="G1" s="1" t="s">
        <v>46</v>
      </c>
      <c r="H1" s="1" t="s">
        <v>47</v>
      </c>
      <c r="I1" s="1" t="s">
        <v>48</v>
      </c>
      <c r="J1" s="1" t="s">
        <v>50</v>
      </c>
      <c r="K1" s="1" t="s">
        <v>51</v>
      </c>
      <c r="L1" s="1" t="s">
        <v>52</v>
      </c>
      <c r="M1" s="1" t="s">
        <v>53</v>
      </c>
    </row>
    <row r="2">
      <c r="A2" s="1">
        <v>3.0</v>
      </c>
      <c r="B2" s="1">
        <v>138.0</v>
      </c>
      <c r="C2" s="1" t="s">
        <v>55</v>
      </c>
      <c r="D2" s="1" t="s">
        <v>56</v>
      </c>
      <c r="E2" s="1" t="s">
        <v>57</v>
      </c>
      <c r="F2" s="1" t="s">
        <v>58</v>
      </c>
      <c r="G2" s="1" t="s">
        <v>59</v>
      </c>
      <c r="H2" s="1">
        <v>12.5190134598367</v>
      </c>
      <c r="I2" s="1" t="s">
        <v>33</v>
      </c>
      <c r="J2" s="1" t="s">
        <v>33</v>
      </c>
      <c r="K2" s="1" t="s">
        <v>33</v>
      </c>
      <c r="L2" s="1">
        <v>6.11306518758756</v>
      </c>
      <c r="M2" s="1">
        <v>18.2412633700495</v>
      </c>
      <c r="N2" s="1" t="s">
        <v>36</v>
      </c>
    </row>
    <row r="3">
      <c r="A3" s="1">
        <v>3.0</v>
      </c>
      <c r="B3" s="1">
        <v>139.0</v>
      </c>
      <c r="C3" s="1" t="s">
        <v>55</v>
      </c>
      <c r="D3" s="1" t="s">
        <v>56</v>
      </c>
      <c r="E3" s="1" t="s">
        <v>57</v>
      </c>
      <c r="F3" s="1" t="s">
        <v>61</v>
      </c>
      <c r="G3" s="1" t="s">
        <v>62</v>
      </c>
      <c r="H3" s="1">
        <v>12.5190134598367</v>
      </c>
      <c r="I3" s="1" t="s">
        <v>33</v>
      </c>
      <c r="J3" s="1" t="s">
        <v>33</v>
      </c>
      <c r="K3" s="1" t="s">
        <v>33</v>
      </c>
      <c r="L3" s="1">
        <v>5.00229988933383</v>
      </c>
      <c r="M3" s="1">
        <v>18.8132782678473</v>
      </c>
      <c r="N3" s="1" t="s">
        <v>36</v>
      </c>
    </row>
    <row r="4">
      <c r="A4" s="1">
        <v>3.0</v>
      </c>
      <c r="B4" s="1">
        <v>140.0</v>
      </c>
      <c r="C4" s="1" t="s">
        <v>55</v>
      </c>
      <c r="D4" s="1" t="s">
        <v>56</v>
      </c>
      <c r="E4" s="1" t="s">
        <v>57</v>
      </c>
      <c r="F4" s="1" t="s">
        <v>63</v>
      </c>
      <c r="G4" s="1" t="s">
        <v>64</v>
      </c>
      <c r="H4" s="1">
        <v>4.07635781002316</v>
      </c>
      <c r="I4" s="1" t="s">
        <v>33</v>
      </c>
      <c r="J4" s="1" t="s">
        <v>33</v>
      </c>
      <c r="K4" s="1" t="s">
        <v>33</v>
      </c>
      <c r="L4" s="1">
        <v>2.86454174598728</v>
      </c>
      <c r="M4" s="1">
        <v>5.0677470562226</v>
      </c>
      <c r="N4" s="1" t="s">
        <v>36</v>
      </c>
    </row>
    <row r="5">
      <c r="A5" s="1">
        <v>3.0</v>
      </c>
      <c r="B5" s="1">
        <v>141.0</v>
      </c>
      <c r="C5" s="1" t="s">
        <v>55</v>
      </c>
      <c r="D5" s="1" t="s">
        <v>56</v>
      </c>
      <c r="E5" s="1" t="s">
        <v>57</v>
      </c>
      <c r="F5" s="1" t="s">
        <v>66</v>
      </c>
      <c r="G5" s="1" t="s">
        <v>68</v>
      </c>
      <c r="H5" s="1">
        <v>4.07635781002316</v>
      </c>
      <c r="I5" s="1" t="s">
        <v>33</v>
      </c>
      <c r="J5" s="1" t="s">
        <v>33</v>
      </c>
      <c r="K5" s="1" t="s">
        <v>33</v>
      </c>
      <c r="L5" s="1">
        <v>3.88769283291799</v>
      </c>
      <c r="M5" s="1">
        <v>2.1837873016223</v>
      </c>
      <c r="N5" s="1" t="s">
        <v>36</v>
      </c>
    </row>
    <row r="6">
      <c r="A6" s="1">
        <v>3.0</v>
      </c>
      <c r="B6" s="1">
        <v>142.0</v>
      </c>
      <c r="C6" s="1" t="s">
        <v>55</v>
      </c>
      <c r="D6" s="1" t="s">
        <v>56</v>
      </c>
      <c r="E6" s="1" t="s">
        <v>57</v>
      </c>
      <c r="F6" s="1" t="s">
        <v>69</v>
      </c>
      <c r="G6" s="1" t="s">
        <v>70</v>
      </c>
      <c r="H6" s="1">
        <v>6.72350459223626</v>
      </c>
      <c r="I6" s="1" t="s">
        <v>33</v>
      </c>
      <c r="J6" s="1" t="s">
        <v>33</v>
      </c>
      <c r="K6" s="1" t="s">
        <v>33</v>
      </c>
      <c r="L6" s="1">
        <v>0.818822640761454</v>
      </c>
      <c r="M6" s="1">
        <v>4.31388719104378</v>
      </c>
      <c r="N6" s="1" t="s">
        <v>36</v>
      </c>
    </row>
    <row r="7">
      <c r="A7" s="1">
        <v>4.0</v>
      </c>
      <c r="B7" s="1">
        <v>339.0</v>
      </c>
      <c r="C7" s="1" t="s">
        <v>55</v>
      </c>
      <c r="D7" s="1" t="s">
        <v>45</v>
      </c>
      <c r="E7" s="1" t="s">
        <v>57</v>
      </c>
      <c r="F7" s="1" t="s">
        <v>72</v>
      </c>
      <c r="G7" s="1" t="s">
        <v>73</v>
      </c>
      <c r="H7" s="1">
        <v>28.6631549735032</v>
      </c>
      <c r="I7" s="1">
        <v>10.4146049846891</v>
      </c>
      <c r="J7" s="1">
        <v>44.3690675361228</v>
      </c>
      <c r="K7" s="1">
        <v>108.487653551424</v>
      </c>
      <c r="L7" s="1">
        <v>2.91704846079997</v>
      </c>
      <c r="M7" s="1">
        <v>10.5989114778844</v>
      </c>
      <c r="N7" s="1" t="s">
        <v>31</v>
      </c>
    </row>
    <row r="8">
      <c r="A8" s="1">
        <v>4.0</v>
      </c>
      <c r="B8" s="1">
        <v>340.0</v>
      </c>
      <c r="C8" s="1" t="s">
        <v>74</v>
      </c>
      <c r="D8" s="1" t="s">
        <v>45</v>
      </c>
      <c r="E8" s="1" t="s">
        <v>57</v>
      </c>
      <c r="F8" s="1" t="s">
        <v>75</v>
      </c>
      <c r="G8" s="1" t="s">
        <v>76</v>
      </c>
      <c r="H8" s="1">
        <v>10.4146049846891</v>
      </c>
      <c r="I8" s="1">
        <v>62.8111222795434</v>
      </c>
      <c r="J8" s="1">
        <v>49.477740621448</v>
      </c>
      <c r="K8" s="1">
        <v>113.472183023141</v>
      </c>
      <c r="L8" s="1">
        <v>9.64948879966696</v>
      </c>
      <c r="M8" s="1">
        <v>17.4463409326872</v>
      </c>
      <c r="N8" s="1" t="s">
        <v>31</v>
      </c>
    </row>
    <row r="9">
      <c r="A9" s="1">
        <v>4.0</v>
      </c>
      <c r="B9" s="1">
        <v>341.0</v>
      </c>
      <c r="C9" s="1" t="s">
        <v>55</v>
      </c>
      <c r="D9" s="1" t="s">
        <v>45</v>
      </c>
      <c r="E9" s="1" t="s">
        <v>78</v>
      </c>
      <c r="F9" s="1" t="s">
        <v>79</v>
      </c>
      <c r="G9" s="1" t="s">
        <v>80</v>
      </c>
      <c r="H9" s="1">
        <v>28.6631549735032</v>
      </c>
      <c r="I9" s="1">
        <v>37.9331070175851</v>
      </c>
      <c r="J9" s="1">
        <v>26.4885277998953</v>
      </c>
      <c r="K9" s="1">
        <v>85.6276503007491</v>
      </c>
      <c r="L9" s="1">
        <v>1.53881213943101</v>
      </c>
      <c r="M9" s="1">
        <v>6.23594060412218</v>
      </c>
      <c r="N9" s="1" t="s">
        <v>31</v>
      </c>
    </row>
    <row r="10">
      <c r="A10" s="1">
        <v>4.0</v>
      </c>
      <c r="B10" s="1">
        <v>342.0</v>
      </c>
      <c r="C10" s="1" t="s">
        <v>55</v>
      </c>
      <c r="D10" s="1" t="s">
        <v>45</v>
      </c>
      <c r="E10" s="1" t="s">
        <v>57</v>
      </c>
      <c r="F10" s="1" t="s">
        <v>82</v>
      </c>
      <c r="G10" s="1" t="s">
        <v>83</v>
      </c>
      <c r="H10" s="1">
        <v>22.6712816131376</v>
      </c>
      <c r="I10" s="1">
        <v>15.2600897110225</v>
      </c>
      <c r="J10" s="1">
        <v>10.5282781589631</v>
      </c>
      <c r="K10" s="1">
        <v>54.9443332840588</v>
      </c>
      <c r="L10" s="1">
        <v>12.1381281285749</v>
      </c>
      <c r="M10" s="1">
        <v>29.2618751221308</v>
      </c>
      <c r="N10" s="1" t="s">
        <v>31</v>
      </c>
    </row>
    <row r="11">
      <c r="A11" s="1">
        <v>4.0</v>
      </c>
      <c r="B11" s="1">
        <v>343.0</v>
      </c>
      <c r="C11" s="1" t="s">
        <v>89</v>
      </c>
      <c r="D11" s="1" t="s">
        <v>45</v>
      </c>
      <c r="E11" s="1" t="s">
        <v>57</v>
      </c>
      <c r="F11" s="1" t="s">
        <v>92</v>
      </c>
      <c r="G11" s="1" t="s">
        <v>93</v>
      </c>
      <c r="H11" s="1">
        <v>10.5282781589631</v>
      </c>
      <c r="I11" s="1">
        <v>18.9343226179613</v>
      </c>
      <c r="J11" s="1">
        <v>59.0583964310177</v>
      </c>
      <c r="K11" s="1">
        <v>64.1923139403493</v>
      </c>
      <c r="L11" s="1">
        <v>18.7962686304319</v>
      </c>
      <c r="M11" s="1">
        <v>30.0816751632811</v>
      </c>
      <c r="N11" s="1" t="s">
        <v>31</v>
      </c>
    </row>
    <row r="12">
      <c r="A12" s="1">
        <v>4.0</v>
      </c>
      <c r="B12" s="1">
        <v>344.0</v>
      </c>
      <c r="C12" s="1" t="s">
        <v>74</v>
      </c>
      <c r="D12" s="1" t="s">
        <v>45</v>
      </c>
      <c r="E12" s="1" t="s">
        <v>98</v>
      </c>
      <c r="F12" s="1" t="s">
        <v>100</v>
      </c>
      <c r="G12" s="1" t="s">
        <v>102</v>
      </c>
      <c r="H12" s="1">
        <v>10.0464849575965</v>
      </c>
      <c r="I12" s="1">
        <v>10.0464849575965</v>
      </c>
      <c r="J12" s="1">
        <v>18.9343226179613</v>
      </c>
      <c r="K12" s="1">
        <v>48.1771297816592</v>
      </c>
      <c r="L12" s="1">
        <v>24.9702316598889</v>
      </c>
      <c r="M12" s="1">
        <v>44.4047935716592</v>
      </c>
      <c r="N12" s="1" t="s">
        <v>31</v>
      </c>
    </row>
    <row r="13">
      <c r="A13" s="1">
        <v>4.0</v>
      </c>
      <c r="B13" s="1">
        <v>345.0</v>
      </c>
      <c r="C13" s="1" t="s">
        <v>55</v>
      </c>
      <c r="D13" s="1" t="s">
        <v>45</v>
      </c>
      <c r="E13" s="1" t="s">
        <v>57</v>
      </c>
      <c r="F13" s="1" t="s">
        <v>112</v>
      </c>
      <c r="G13" s="1" t="s">
        <v>114</v>
      </c>
      <c r="H13" s="1">
        <v>20.6699877116465</v>
      </c>
      <c r="I13" s="1">
        <v>0.0</v>
      </c>
      <c r="J13" s="1">
        <v>21.7799428144833</v>
      </c>
      <c r="K13" s="1">
        <v>54.6363332042455</v>
      </c>
      <c r="L13" s="1">
        <v>33.8757748604889</v>
      </c>
      <c r="M13" s="1">
        <v>51.2686513947022</v>
      </c>
      <c r="N13" s="1" t="s">
        <v>31</v>
      </c>
    </row>
    <row r="14">
      <c r="A14" s="1">
        <v>4.0</v>
      </c>
      <c r="B14" s="1">
        <v>346.0</v>
      </c>
      <c r="C14" s="1" t="s">
        <v>74</v>
      </c>
      <c r="D14" s="1" t="s">
        <v>45</v>
      </c>
      <c r="E14" s="1" t="s">
        <v>57</v>
      </c>
      <c r="F14" s="1" t="s">
        <v>112</v>
      </c>
      <c r="G14" s="1" t="s">
        <v>114</v>
      </c>
      <c r="H14" s="1">
        <v>0.0</v>
      </c>
      <c r="I14" s="1">
        <v>10.0464849575965</v>
      </c>
      <c r="J14" s="1">
        <v>21.7799428144833</v>
      </c>
      <c r="K14" s="1">
        <v>54.6363332042455</v>
      </c>
      <c r="L14" s="1">
        <v>33.8757748604889</v>
      </c>
      <c r="M14" s="1">
        <v>51.2686513947022</v>
      </c>
      <c r="N14" s="1" t="s">
        <v>31</v>
      </c>
    </row>
    <row r="15">
      <c r="A15" s="1">
        <v>4.0</v>
      </c>
      <c r="B15" s="1">
        <v>347.0</v>
      </c>
      <c r="C15" s="1" t="s">
        <v>74</v>
      </c>
      <c r="D15" s="1" t="s">
        <v>45</v>
      </c>
      <c r="E15" s="1" t="s">
        <v>98</v>
      </c>
      <c r="F15" s="1" t="s">
        <v>131</v>
      </c>
      <c r="G15" s="1" t="s">
        <v>132</v>
      </c>
      <c r="H15" s="1">
        <v>0.0</v>
      </c>
      <c r="I15" s="1">
        <v>10.4418528054595</v>
      </c>
      <c r="J15" s="1">
        <v>38.7429634641622</v>
      </c>
      <c r="K15" s="1">
        <v>40.0997823684002</v>
      </c>
      <c r="L15" s="1">
        <v>38.5300097142728</v>
      </c>
      <c r="M15" s="1">
        <v>56.6841254599897</v>
      </c>
      <c r="N15" s="1" t="s">
        <v>31</v>
      </c>
    </row>
    <row r="16">
      <c r="A16" s="1">
        <v>4.0</v>
      </c>
      <c r="B16" s="1">
        <v>348.0</v>
      </c>
      <c r="C16" s="1" t="s">
        <v>55</v>
      </c>
      <c r="D16" s="1" t="s">
        <v>45</v>
      </c>
      <c r="E16" s="1" t="s">
        <v>57</v>
      </c>
      <c r="F16" s="1" t="s">
        <v>131</v>
      </c>
      <c r="G16" s="1" t="s">
        <v>132</v>
      </c>
      <c r="H16" s="1">
        <v>10.4418528054595</v>
      </c>
      <c r="I16" s="1">
        <v>0.0</v>
      </c>
      <c r="J16" s="1">
        <v>38.7429634641622</v>
      </c>
      <c r="K16" s="1">
        <v>40.0997823684002</v>
      </c>
      <c r="L16" s="1">
        <v>38.5300097142728</v>
      </c>
      <c r="M16" s="1">
        <v>56.6841254599897</v>
      </c>
      <c r="N16" s="1" t="s">
        <v>31</v>
      </c>
    </row>
    <row r="17">
      <c r="A17" s="1">
        <v>4.0</v>
      </c>
      <c r="B17" s="1">
        <v>349.0</v>
      </c>
      <c r="C17" s="1" t="s">
        <v>55</v>
      </c>
      <c r="D17" s="1" t="s">
        <v>45</v>
      </c>
      <c r="E17" s="1" t="s">
        <v>57</v>
      </c>
      <c r="F17" s="1" t="s">
        <v>140</v>
      </c>
      <c r="G17" s="1" t="s">
        <v>141</v>
      </c>
      <c r="H17" s="1">
        <v>10.3310065819589</v>
      </c>
      <c r="I17" s="1">
        <v>0.0</v>
      </c>
      <c r="J17" s="1">
        <v>45.8125321393185</v>
      </c>
      <c r="K17" s="1">
        <v>48.3701885880049</v>
      </c>
      <c r="L17" s="1">
        <v>47.8798154740318</v>
      </c>
      <c r="M17" s="1">
        <v>65.7284424402089</v>
      </c>
      <c r="N17" s="1" t="s">
        <v>31</v>
      </c>
    </row>
    <row r="18">
      <c r="A18" s="1">
        <v>4.0</v>
      </c>
      <c r="B18" s="1">
        <v>350.0</v>
      </c>
      <c r="C18" s="1" t="s">
        <v>74</v>
      </c>
      <c r="D18" s="1" t="s">
        <v>45</v>
      </c>
      <c r="E18" s="1" t="s">
        <v>57</v>
      </c>
      <c r="F18" s="1" t="s">
        <v>140</v>
      </c>
      <c r="G18" s="1" t="s">
        <v>141</v>
      </c>
      <c r="H18" s="1">
        <v>0.0</v>
      </c>
      <c r="I18" s="1">
        <v>10.4418528054595</v>
      </c>
      <c r="J18" s="1">
        <v>45.8125321393185</v>
      </c>
      <c r="K18" s="1">
        <v>48.3701885880049</v>
      </c>
      <c r="L18" s="1">
        <v>47.8798154740318</v>
      </c>
      <c r="M18" s="1">
        <v>65.7284424402089</v>
      </c>
      <c r="N18" s="1" t="s">
        <v>31</v>
      </c>
    </row>
    <row r="19">
      <c r="A19" s="1">
        <v>4.0</v>
      </c>
      <c r="B19" s="1">
        <v>351.0</v>
      </c>
      <c r="C19" s="1" t="s">
        <v>55</v>
      </c>
      <c r="D19" s="1" t="s">
        <v>45</v>
      </c>
      <c r="E19" s="1" t="s">
        <v>98</v>
      </c>
      <c r="F19" s="1" t="s">
        <v>145</v>
      </c>
      <c r="G19" s="1" t="s">
        <v>146</v>
      </c>
      <c r="H19" s="1">
        <v>10.3310065819589</v>
      </c>
      <c r="I19" s="1">
        <v>10.3310065819589</v>
      </c>
      <c r="J19" s="1">
        <v>49.8150567699976</v>
      </c>
      <c r="K19" s="1">
        <v>46.2476472264573</v>
      </c>
      <c r="L19" s="1">
        <v>42.4210101435447</v>
      </c>
      <c r="M19" s="1">
        <v>65.9654116948564</v>
      </c>
      <c r="N19" s="1" t="s">
        <v>31</v>
      </c>
    </row>
    <row r="20">
      <c r="A20" s="1">
        <v>4.0</v>
      </c>
      <c r="B20" s="1">
        <v>352.0</v>
      </c>
      <c r="C20" s="1" t="s">
        <v>55</v>
      </c>
      <c r="D20" s="1" t="s">
        <v>45</v>
      </c>
      <c r="E20" s="1" t="s">
        <v>57</v>
      </c>
      <c r="F20" s="1" t="s">
        <v>148</v>
      </c>
      <c r="G20" s="1" t="s">
        <v>149</v>
      </c>
      <c r="H20" s="1">
        <v>10.4744842354645</v>
      </c>
      <c r="I20" s="1">
        <v>10.9061843465006</v>
      </c>
      <c r="J20" s="1">
        <v>59.1997488591495</v>
      </c>
      <c r="K20" s="1">
        <v>45.6207372360686</v>
      </c>
      <c r="L20" s="1">
        <v>45.4973610159911</v>
      </c>
      <c r="M20" s="1">
        <v>73.3781302385188</v>
      </c>
      <c r="N20" s="1" t="s">
        <v>31</v>
      </c>
    </row>
    <row r="21" ht="15.75" customHeight="1">
      <c r="A21" s="1">
        <v>4.0</v>
      </c>
      <c r="B21" s="1">
        <v>353.0</v>
      </c>
      <c r="C21" s="1" t="s">
        <v>55</v>
      </c>
      <c r="D21" s="1" t="s">
        <v>45</v>
      </c>
      <c r="E21" s="1" t="s">
        <v>57</v>
      </c>
      <c r="F21" s="1" t="s">
        <v>148</v>
      </c>
      <c r="G21" s="1" t="s">
        <v>149</v>
      </c>
      <c r="H21" s="1">
        <v>10.4744842354645</v>
      </c>
      <c r="I21" s="1">
        <v>10.9061843465006</v>
      </c>
      <c r="J21" s="1">
        <v>59.1997488591495</v>
      </c>
      <c r="K21" s="1">
        <v>45.6207372360686</v>
      </c>
      <c r="L21" s="1">
        <v>45.4973610159911</v>
      </c>
      <c r="M21" s="1">
        <v>73.3781302385188</v>
      </c>
      <c r="N21" s="1" t="s">
        <v>31</v>
      </c>
    </row>
    <row r="22" ht="15.75" customHeight="1">
      <c r="A22" s="1">
        <v>4.0</v>
      </c>
      <c r="B22" s="1">
        <v>354.0</v>
      </c>
      <c r="C22" s="1" t="s">
        <v>74</v>
      </c>
      <c r="D22" s="1" t="s">
        <v>45</v>
      </c>
      <c r="E22" s="1" t="s">
        <v>57</v>
      </c>
      <c r="F22" s="1" t="s">
        <v>155</v>
      </c>
      <c r="G22" s="1" t="s">
        <v>156</v>
      </c>
      <c r="H22" s="1">
        <v>10.9061843465006</v>
      </c>
      <c r="I22" s="1">
        <v>29.7757222244437</v>
      </c>
      <c r="J22" s="1">
        <v>64.4935756335455</v>
      </c>
      <c r="K22" s="1">
        <v>39.7865123499091</v>
      </c>
      <c r="L22" s="1">
        <v>41.4954200449082</v>
      </c>
      <c r="M22" s="1">
        <v>68.9257998087172</v>
      </c>
      <c r="N22" s="1" t="s">
        <v>31</v>
      </c>
    </row>
    <row r="23" ht="15.75" customHeight="1">
      <c r="A23" s="1">
        <v>4.0</v>
      </c>
      <c r="B23" s="1">
        <v>355.0</v>
      </c>
      <c r="C23" s="1" t="s">
        <v>55</v>
      </c>
      <c r="D23" s="1" t="s">
        <v>45</v>
      </c>
      <c r="E23" s="1" t="s">
        <v>98</v>
      </c>
      <c r="F23" s="1" t="s">
        <v>171</v>
      </c>
      <c r="G23" s="1" t="s">
        <v>173</v>
      </c>
      <c r="H23" s="1">
        <v>31.2172505678706</v>
      </c>
      <c r="I23" s="1">
        <v>33.0790249559722</v>
      </c>
      <c r="J23" s="1">
        <v>97.4698789273637</v>
      </c>
      <c r="K23" s="1">
        <v>61.6127463194076</v>
      </c>
      <c r="L23" s="1">
        <v>64.6489044697259</v>
      </c>
      <c r="M23" s="1">
        <v>87.5835482713306</v>
      </c>
      <c r="N23" s="1" t="s">
        <v>31</v>
      </c>
    </row>
    <row r="24" ht="15.75" customHeight="1">
      <c r="A24" s="1">
        <v>4.0</v>
      </c>
      <c r="B24" s="1">
        <v>356.0</v>
      </c>
      <c r="C24" s="1" t="s">
        <v>55</v>
      </c>
      <c r="D24" s="1" t="s">
        <v>45</v>
      </c>
      <c r="E24" s="1" t="s">
        <v>98</v>
      </c>
      <c r="F24" s="1" t="s">
        <v>175</v>
      </c>
      <c r="G24" s="1" t="s">
        <v>176</v>
      </c>
      <c r="H24" s="1">
        <v>31.2172505678706</v>
      </c>
      <c r="I24" s="1">
        <v>49.4011322237767</v>
      </c>
      <c r="J24" s="1">
        <v>105.757250725252</v>
      </c>
      <c r="K24" s="1">
        <v>55.8635415447723</v>
      </c>
      <c r="L24" s="1">
        <v>57.0313512517046</v>
      </c>
      <c r="M24" s="1">
        <v>71.8238062049597</v>
      </c>
      <c r="N24" s="1" t="s">
        <v>31</v>
      </c>
    </row>
    <row r="25" ht="15.75" customHeight="1">
      <c r="A25" s="1">
        <v>4.0</v>
      </c>
      <c r="B25" s="1">
        <v>357.0</v>
      </c>
      <c r="C25" s="1" t="s">
        <v>179</v>
      </c>
      <c r="D25" s="1" t="s">
        <v>45</v>
      </c>
      <c r="E25" s="1" t="s">
        <v>57</v>
      </c>
      <c r="F25" s="1" t="s">
        <v>180</v>
      </c>
      <c r="G25" s="1" t="s">
        <v>181</v>
      </c>
      <c r="H25" s="1">
        <v>29.9859056560831</v>
      </c>
      <c r="I25" s="1">
        <v>39.7865123499091</v>
      </c>
      <c r="J25" s="1">
        <v>55.8697040356354</v>
      </c>
      <c r="K25" s="1">
        <v>50.1465706208016</v>
      </c>
      <c r="L25" s="1">
        <v>3.23529076567035</v>
      </c>
      <c r="M25" s="1">
        <v>29.1393188306128</v>
      </c>
      <c r="N25" s="1" t="s">
        <v>31</v>
      </c>
    </row>
    <row r="26" ht="15.75" customHeight="1">
      <c r="A26" s="1">
        <v>4.0</v>
      </c>
      <c r="B26" s="1">
        <v>358.0</v>
      </c>
      <c r="C26" s="1" t="s">
        <v>55</v>
      </c>
      <c r="D26" s="1" t="s">
        <v>45</v>
      </c>
      <c r="E26" s="1" t="s">
        <v>57</v>
      </c>
      <c r="F26" s="1" t="s">
        <v>184</v>
      </c>
      <c r="G26" s="1" t="s">
        <v>186</v>
      </c>
      <c r="H26" s="1">
        <v>49.0187542575581</v>
      </c>
      <c r="I26" s="1">
        <v>10.2551926847729</v>
      </c>
      <c r="J26" s="1">
        <v>29.5889676906232</v>
      </c>
      <c r="K26" s="1">
        <v>23.1167521290362</v>
      </c>
      <c r="L26" s="1">
        <v>4.43739120119381</v>
      </c>
      <c r="M26" s="1">
        <v>19.0602122420695</v>
      </c>
      <c r="N26" s="1" t="s">
        <v>31</v>
      </c>
    </row>
    <row r="27" ht="15.75" customHeight="1">
      <c r="A27" s="1">
        <v>4.0</v>
      </c>
      <c r="B27" s="1">
        <v>359.0</v>
      </c>
      <c r="C27" s="1" t="s">
        <v>74</v>
      </c>
      <c r="D27" s="1" t="s">
        <v>45</v>
      </c>
      <c r="E27" s="1" t="s">
        <v>98</v>
      </c>
      <c r="F27" s="1" t="s">
        <v>188</v>
      </c>
      <c r="G27" s="1" t="s">
        <v>190</v>
      </c>
      <c r="H27" s="1">
        <v>10.2551926847729</v>
      </c>
      <c r="I27" s="1">
        <v>25.6067078127981</v>
      </c>
      <c r="J27" s="1">
        <v>21.9021570171233</v>
      </c>
      <c r="K27" s="1">
        <v>15.4796256414491</v>
      </c>
      <c r="L27" s="1">
        <v>3.49248900822381</v>
      </c>
      <c r="M27" s="1">
        <v>13.0417373967067</v>
      </c>
      <c r="N27" s="1" t="s">
        <v>31</v>
      </c>
    </row>
    <row r="28" ht="15.75" customHeight="1">
      <c r="A28" s="1">
        <v>4.0</v>
      </c>
      <c r="B28" s="1">
        <v>360.0</v>
      </c>
      <c r="C28" s="1" t="s">
        <v>74</v>
      </c>
      <c r="D28" s="1" t="s">
        <v>45</v>
      </c>
      <c r="E28" s="1" t="s">
        <v>98</v>
      </c>
      <c r="F28" s="1" t="s">
        <v>188</v>
      </c>
      <c r="G28" s="1" t="s">
        <v>190</v>
      </c>
      <c r="H28" s="1">
        <v>10.2551926847729</v>
      </c>
      <c r="I28" s="1">
        <v>25.6067078127981</v>
      </c>
      <c r="J28" s="1">
        <v>21.9021570171233</v>
      </c>
      <c r="K28" s="1">
        <v>15.4796256414491</v>
      </c>
      <c r="L28" s="1">
        <v>3.49248900822381</v>
      </c>
      <c r="M28" s="1">
        <v>13.0417373967067</v>
      </c>
      <c r="N28" s="1" t="s">
        <v>31</v>
      </c>
    </row>
    <row r="29" ht="15.75" customHeight="1">
      <c r="A29" s="1">
        <v>4.0</v>
      </c>
      <c r="B29" s="1">
        <v>361.0</v>
      </c>
      <c r="C29" s="1" t="s">
        <v>89</v>
      </c>
      <c r="D29" s="1" t="s">
        <v>45</v>
      </c>
      <c r="E29" s="1" t="s">
        <v>57</v>
      </c>
      <c r="F29" s="1" t="s">
        <v>196</v>
      </c>
      <c r="G29" s="1" t="s">
        <v>197</v>
      </c>
      <c r="H29" s="1">
        <v>29.5889676906232</v>
      </c>
      <c r="I29" s="1">
        <v>3.71682458568981</v>
      </c>
      <c r="J29" s="1">
        <v>59.0583964310177</v>
      </c>
      <c r="K29" s="1">
        <v>6.528522650714</v>
      </c>
      <c r="L29" s="1">
        <v>0.29978986431129</v>
      </c>
      <c r="M29" s="1">
        <v>17.9549843268211</v>
      </c>
      <c r="N29" s="1" t="s">
        <v>31</v>
      </c>
    </row>
    <row r="30" ht="15.75" customHeight="1">
      <c r="A30" s="1">
        <v>4.0</v>
      </c>
      <c r="B30" s="1">
        <v>362.0</v>
      </c>
      <c r="C30" s="1" t="s">
        <v>74</v>
      </c>
      <c r="D30" s="1" t="s">
        <v>45</v>
      </c>
      <c r="E30" s="1" t="s">
        <v>98</v>
      </c>
      <c r="F30" s="1" t="s">
        <v>205</v>
      </c>
      <c r="G30" s="1" t="s">
        <v>207</v>
      </c>
      <c r="H30" s="1">
        <v>0.0</v>
      </c>
      <c r="I30" s="1">
        <v>19.0170547145945</v>
      </c>
      <c r="J30" s="1">
        <v>32.2627958026576</v>
      </c>
      <c r="K30" s="1">
        <v>38.3948160694543</v>
      </c>
      <c r="L30" s="1">
        <v>14.6040864978495</v>
      </c>
      <c r="M30" s="1">
        <v>17.9287323689974</v>
      </c>
      <c r="N30" s="1" t="s">
        <v>31</v>
      </c>
    </row>
    <row r="31" ht="15.75" customHeight="1">
      <c r="A31" s="1">
        <v>4.0</v>
      </c>
      <c r="B31" s="1">
        <v>363.0</v>
      </c>
      <c r="C31" s="1" t="s">
        <v>55</v>
      </c>
      <c r="D31" s="1" t="s">
        <v>45</v>
      </c>
      <c r="E31" s="1" t="s">
        <v>98</v>
      </c>
      <c r="F31" s="1" t="s">
        <v>205</v>
      </c>
      <c r="G31" s="1" t="s">
        <v>207</v>
      </c>
      <c r="H31" s="1">
        <v>42.0579244025175</v>
      </c>
      <c r="I31" s="1">
        <v>0.0</v>
      </c>
      <c r="J31" s="1">
        <v>32.2627958026576</v>
      </c>
      <c r="K31" s="1">
        <v>38.3948160694543</v>
      </c>
      <c r="L31" s="1">
        <v>14.6040864978495</v>
      </c>
      <c r="M31" s="1">
        <v>17.9287323689974</v>
      </c>
      <c r="N31" s="1" t="s">
        <v>31</v>
      </c>
    </row>
    <row r="32" ht="15.75" customHeight="1">
      <c r="A32" s="1">
        <v>4.0</v>
      </c>
      <c r="B32" s="1">
        <v>364.0</v>
      </c>
      <c r="C32" s="1" t="s">
        <v>55</v>
      </c>
      <c r="D32" s="1" t="s">
        <v>45</v>
      </c>
      <c r="E32" s="1" t="s">
        <v>98</v>
      </c>
      <c r="F32" s="1" t="s">
        <v>205</v>
      </c>
      <c r="G32" s="1" t="s">
        <v>207</v>
      </c>
      <c r="H32" s="1">
        <v>42.0579244025175</v>
      </c>
      <c r="I32" s="1">
        <v>0.0</v>
      </c>
      <c r="J32" s="1">
        <v>32.2627958026576</v>
      </c>
      <c r="K32" s="1">
        <v>38.3948160694543</v>
      </c>
      <c r="L32" s="1">
        <v>14.6040864978495</v>
      </c>
      <c r="M32" s="1">
        <v>17.9287323689974</v>
      </c>
      <c r="N32" s="1" t="s">
        <v>31</v>
      </c>
    </row>
    <row r="33" ht="15.75" customHeight="1">
      <c r="A33" s="1">
        <v>4.0</v>
      </c>
      <c r="B33" s="1">
        <v>365.0</v>
      </c>
      <c r="C33" s="1" t="s">
        <v>74</v>
      </c>
      <c r="D33" s="1" t="s">
        <v>45</v>
      </c>
      <c r="E33" s="1" t="s">
        <v>98</v>
      </c>
      <c r="F33" s="1" t="s">
        <v>205</v>
      </c>
      <c r="G33" s="1" t="s">
        <v>207</v>
      </c>
      <c r="H33" s="1">
        <v>0.0</v>
      </c>
      <c r="I33" s="1">
        <v>19.0170547145945</v>
      </c>
      <c r="J33" s="1">
        <v>32.2627958026576</v>
      </c>
      <c r="K33" s="1">
        <v>38.3948160694543</v>
      </c>
      <c r="L33" s="1">
        <v>14.6040864978495</v>
      </c>
      <c r="M33" s="1">
        <v>17.9287323689974</v>
      </c>
      <c r="N33" s="1" t="s">
        <v>31</v>
      </c>
    </row>
    <row r="34" ht="15.75" customHeight="1">
      <c r="A34" s="1">
        <v>4.0</v>
      </c>
      <c r="B34" s="1">
        <v>366.0</v>
      </c>
      <c r="C34" s="1" t="s">
        <v>74</v>
      </c>
      <c r="D34" s="1" t="s">
        <v>45</v>
      </c>
      <c r="E34" s="1" t="s">
        <v>57</v>
      </c>
      <c r="F34" s="1" t="s">
        <v>227</v>
      </c>
      <c r="G34" s="1" t="s">
        <v>229</v>
      </c>
      <c r="H34" s="1">
        <v>19.0170547145945</v>
      </c>
      <c r="I34" s="1">
        <v>9.99854759424696</v>
      </c>
      <c r="J34" s="1">
        <v>13.4846616936657</v>
      </c>
      <c r="K34" s="1">
        <v>19.8874038776552</v>
      </c>
      <c r="L34" s="1">
        <v>2.15153719663246</v>
      </c>
      <c r="M34" s="1">
        <v>20.2765567578736</v>
      </c>
      <c r="N34" s="1" t="s">
        <v>31</v>
      </c>
    </row>
    <row r="35" ht="15.75" customHeight="1">
      <c r="A35" s="1">
        <v>4.0</v>
      </c>
      <c r="B35" s="1">
        <v>367.0</v>
      </c>
      <c r="C35" s="1" t="s">
        <v>179</v>
      </c>
      <c r="D35" s="1" t="s">
        <v>45</v>
      </c>
      <c r="E35" s="1" t="s">
        <v>57</v>
      </c>
      <c r="F35" s="1" t="s">
        <v>233</v>
      </c>
      <c r="G35" s="1" t="s">
        <v>234</v>
      </c>
      <c r="H35" s="1">
        <v>23.1167521290362</v>
      </c>
      <c r="I35" s="1">
        <v>10.2405783529685</v>
      </c>
      <c r="J35" s="1">
        <v>6.528522650714</v>
      </c>
      <c r="K35" s="1">
        <v>50.1465706208016</v>
      </c>
      <c r="L35" s="1">
        <v>1.02802854692778</v>
      </c>
      <c r="M35" s="1">
        <v>17.4891380025761</v>
      </c>
      <c r="N35" s="1" t="s">
        <v>31</v>
      </c>
    </row>
    <row r="36" ht="15.75" customHeight="1">
      <c r="A36" s="1">
        <v>4.0</v>
      </c>
      <c r="B36" s="1">
        <v>368.0</v>
      </c>
      <c r="C36" s="1" t="s">
        <v>74</v>
      </c>
      <c r="D36" s="1" t="s">
        <v>45</v>
      </c>
      <c r="E36" s="1" t="s">
        <v>78</v>
      </c>
      <c r="F36" s="1" t="s">
        <v>240</v>
      </c>
      <c r="G36" s="1" t="s">
        <v>242</v>
      </c>
      <c r="H36" s="1">
        <v>28.9557502408237</v>
      </c>
      <c r="I36" s="1">
        <v>9.99854759424696</v>
      </c>
      <c r="J36" s="1">
        <v>3.71682458568981</v>
      </c>
      <c r="K36" s="1">
        <v>10.2405783529685</v>
      </c>
      <c r="L36" s="1">
        <v>0.487181640532333</v>
      </c>
      <c r="M36" s="1">
        <v>18.8491548571787</v>
      </c>
      <c r="N36" s="1" t="s">
        <v>31</v>
      </c>
    </row>
    <row r="37" ht="15.75" customHeight="1">
      <c r="A37" s="1">
        <v>5.0</v>
      </c>
      <c r="B37" s="1">
        <v>303.0</v>
      </c>
      <c r="C37" s="1" t="s">
        <v>55</v>
      </c>
      <c r="D37" s="1" t="s">
        <v>54</v>
      </c>
      <c r="E37" s="1" t="s">
        <v>57</v>
      </c>
      <c r="F37" s="1" t="s">
        <v>248</v>
      </c>
      <c r="G37" s="1" t="s">
        <v>249</v>
      </c>
      <c r="H37" s="1">
        <v>30.3194384016189</v>
      </c>
      <c r="I37" s="1">
        <v>30.3194384016189</v>
      </c>
      <c r="J37" s="1" t="s">
        <v>33</v>
      </c>
      <c r="K37" s="1">
        <v>0.0</v>
      </c>
      <c r="L37" s="1">
        <v>22.6307685028064</v>
      </c>
      <c r="M37" s="1">
        <v>35.47940983648</v>
      </c>
      <c r="N37" s="1" t="s">
        <v>31</v>
      </c>
    </row>
    <row r="38" ht="15.75" customHeight="1">
      <c r="A38" s="1">
        <v>5.0</v>
      </c>
      <c r="B38" s="1">
        <v>304.0</v>
      </c>
      <c r="C38" s="1" t="s">
        <v>179</v>
      </c>
      <c r="D38" s="1" t="s">
        <v>54</v>
      </c>
      <c r="E38" s="1" t="s">
        <v>57</v>
      </c>
      <c r="F38" s="1" t="s">
        <v>248</v>
      </c>
      <c r="G38" s="1" t="s">
        <v>249</v>
      </c>
      <c r="H38" s="1">
        <v>0.0</v>
      </c>
      <c r="I38" s="1">
        <v>30.3194384016189</v>
      </c>
      <c r="J38" s="1" t="s">
        <v>33</v>
      </c>
      <c r="K38" s="1">
        <v>39.8598911437644</v>
      </c>
      <c r="L38" s="1">
        <v>22.6307685028064</v>
      </c>
      <c r="M38" s="1">
        <v>35.47940983648</v>
      </c>
      <c r="N38" s="1" t="s">
        <v>31</v>
      </c>
    </row>
    <row r="39" ht="15.75" customHeight="1">
      <c r="A39" s="1">
        <v>5.0</v>
      </c>
      <c r="B39" s="1">
        <v>305.0</v>
      </c>
      <c r="C39" s="1" t="s">
        <v>74</v>
      </c>
      <c r="D39" s="1" t="s">
        <v>54</v>
      </c>
      <c r="E39" s="1" t="s">
        <v>98</v>
      </c>
      <c r="F39" s="1" t="s">
        <v>316</v>
      </c>
      <c r="G39" s="1" t="s">
        <v>318</v>
      </c>
      <c r="H39" s="1">
        <v>0.0</v>
      </c>
      <c r="I39" s="1">
        <v>67.5997245927885</v>
      </c>
      <c r="J39" s="1" t="s">
        <v>33</v>
      </c>
      <c r="K39" s="1">
        <v>27.6324168503192</v>
      </c>
      <c r="L39" s="1">
        <v>9.51484344031839</v>
      </c>
      <c r="M39" s="1">
        <v>8.70145454648829</v>
      </c>
      <c r="N39" s="1" t="s">
        <v>31</v>
      </c>
    </row>
    <row r="40" ht="15.75" customHeight="1">
      <c r="A40" s="1">
        <v>5.0</v>
      </c>
      <c r="B40" s="1">
        <v>306.0</v>
      </c>
      <c r="C40" s="1" t="s">
        <v>55</v>
      </c>
      <c r="D40" s="1" t="s">
        <v>54</v>
      </c>
      <c r="E40" s="1" t="s">
        <v>57</v>
      </c>
      <c r="F40" s="1" t="s">
        <v>316</v>
      </c>
      <c r="G40" s="1" t="s">
        <v>318</v>
      </c>
      <c r="H40" s="1">
        <v>27.6324168503192</v>
      </c>
      <c r="I40" s="1">
        <v>0.0</v>
      </c>
      <c r="J40" s="1" t="s">
        <v>33</v>
      </c>
      <c r="K40" s="1">
        <v>27.6324168503192</v>
      </c>
      <c r="L40" s="1">
        <v>9.51484344031839</v>
      </c>
      <c r="M40" s="1">
        <v>8.70145454648829</v>
      </c>
      <c r="N40" s="1" t="s">
        <v>31</v>
      </c>
    </row>
    <row r="41" ht="15.75" customHeight="1">
      <c r="A41" s="1">
        <v>5.0</v>
      </c>
      <c r="B41" s="1">
        <v>307.0</v>
      </c>
      <c r="C41" s="1" t="s">
        <v>55</v>
      </c>
      <c r="D41" s="1" t="s">
        <v>54</v>
      </c>
      <c r="E41" s="1" t="s">
        <v>57</v>
      </c>
      <c r="F41" s="1" t="s">
        <v>316</v>
      </c>
      <c r="G41" s="1" t="s">
        <v>318</v>
      </c>
      <c r="H41" s="1">
        <v>27.6324168503192</v>
      </c>
      <c r="I41" s="1">
        <v>0.0</v>
      </c>
      <c r="J41" s="1" t="s">
        <v>33</v>
      </c>
      <c r="K41" s="1">
        <v>27.6324168503192</v>
      </c>
      <c r="L41" s="1">
        <v>9.51484344031839</v>
      </c>
      <c r="M41" s="1">
        <v>8.70145454648829</v>
      </c>
      <c r="N41" s="1" t="s">
        <v>31</v>
      </c>
    </row>
    <row r="42" ht="15.75" customHeight="1">
      <c r="A42" s="1">
        <v>5.0</v>
      </c>
      <c r="B42" s="1">
        <v>308.0</v>
      </c>
      <c r="C42" s="1" t="s">
        <v>55</v>
      </c>
      <c r="D42" s="1" t="s">
        <v>54</v>
      </c>
      <c r="E42" s="1" t="s">
        <v>57</v>
      </c>
      <c r="F42" s="1" t="s">
        <v>316</v>
      </c>
      <c r="G42" s="1" t="s">
        <v>318</v>
      </c>
      <c r="H42" s="1">
        <v>27.6324168503192</v>
      </c>
      <c r="I42" s="1">
        <v>0.0</v>
      </c>
      <c r="J42" s="1" t="s">
        <v>33</v>
      </c>
      <c r="K42" s="1">
        <v>27.6324168503192</v>
      </c>
      <c r="L42" s="1">
        <v>9.51484344031839</v>
      </c>
      <c r="M42" s="1">
        <v>8.70145454648829</v>
      </c>
      <c r="N42" s="1" t="s">
        <v>31</v>
      </c>
    </row>
    <row r="43" ht="15.75" customHeight="1">
      <c r="A43" s="1">
        <v>5.0</v>
      </c>
      <c r="B43" s="1">
        <v>309.0</v>
      </c>
      <c r="C43" s="1" t="s">
        <v>179</v>
      </c>
      <c r="D43" s="1" t="s">
        <v>54</v>
      </c>
      <c r="E43" s="1" t="s">
        <v>98</v>
      </c>
      <c r="F43" s="1" t="s">
        <v>349</v>
      </c>
      <c r="G43" s="1" t="s">
        <v>351</v>
      </c>
      <c r="H43" s="1">
        <v>0.0</v>
      </c>
      <c r="I43" s="1">
        <v>27.6324168503192</v>
      </c>
      <c r="J43" s="1" t="s">
        <v>33</v>
      </c>
      <c r="K43" s="1">
        <v>10.0866911317731</v>
      </c>
      <c r="L43" s="1">
        <v>10.6465138055956</v>
      </c>
      <c r="M43" s="1">
        <v>20.4119466845802</v>
      </c>
      <c r="N43" s="1" t="s">
        <v>31</v>
      </c>
    </row>
    <row r="44" ht="15.75" customHeight="1">
      <c r="A44" s="1">
        <v>5.0</v>
      </c>
      <c r="B44" s="1">
        <v>310.0</v>
      </c>
      <c r="C44" s="1" t="s">
        <v>55</v>
      </c>
      <c r="D44" s="1" t="s">
        <v>54</v>
      </c>
      <c r="E44" s="1" t="s">
        <v>98</v>
      </c>
      <c r="F44" s="1" t="s">
        <v>349</v>
      </c>
      <c r="G44" s="1" t="s">
        <v>351</v>
      </c>
      <c r="H44" s="1">
        <v>26.8061682826814</v>
      </c>
      <c r="I44" s="1">
        <v>27.6324168503192</v>
      </c>
      <c r="J44" s="1" t="s">
        <v>33</v>
      </c>
      <c r="K44" s="1">
        <v>0.0</v>
      </c>
      <c r="L44" s="1">
        <v>10.6465138055956</v>
      </c>
      <c r="M44" s="1">
        <v>20.4119466845802</v>
      </c>
      <c r="N44" s="1" t="s">
        <v>31</v>
      </c>
    </row>
    <row r="45" ht="15.75" customHeight="1">
      <c r="A45" s="1">
        <v>5.0</v>
      </c>
      <c r="B45" s="1">
        <v>311.0</v>
      </c>
      <c r="C45" s="1" t="s">
        <v>55</v>
      </c>
      <c r="D45" s="1" t="s">
        <v>54</v>
      </c>
      <c r="E45" s="1" t="s">
        <v>57</v>
      </c>
      <c r="F45" s="1" t="s">
        <v>349</v>
      </c>
      <c r="G45" s="1" t="s">
        <v>351</v>
      </c>
      <c r="H45" s="1">
        <v>26.8061682826814</v>
      </c>
      <c r="I45" s="1">
        <v>27.6324168503192</v>
      </c>
      <c r="J45" s="1" t="s">
        <v>33</v>
      </c>
      <c r="K45" s="1">
        <v>0.0</v>
      </c>
      <c r="L45" s="1">
        <v>10.6465138055956</v>
      </c>
      <c r="M45" s="1">
        <v>20.4119466845802</v>
      </c>
      <c r="N45" s="1" t="s">
        <v>31</v>
      </c>
    </row>
    <row r="46" ht="15.75" customHeight="1">
      <c r="A46" s="1">
        <v>5.0</v>
      </c>
      <c r="B46" s="1">
        <v>312.0</v>
      </c>
      <c r="C46" s="1" t="s">
        <v>179</v>
      </c>
      <c r="D46" s="1" t="s">
        <v>54</v>
      </c>
      <c r="E46" s="1" t="s">
        <v>57</v>
      </c>
      <c r="F46" s="1" t="s">
        <v>374</v>
      </c>
      <c r="G46" s="1" t="s">
        <v>375</v>
      </c>
      <c r="H46" s="1">
        <v>10.0866911317731</v>
      </c>
      <c r="I46" s="1">
        <v>28.7930471640523</v>
      </c>
      <c r="J46" s="1" t="s">
        <v>33</v>
      </c>
      <c r="K46" s="1">
        <v>10.0866911317731</v>
      </c>
      <c r="L46" s="1">
        <v>20.5599456675683</v>
      </c>
      <c r="M46" s="1">
        <v>30.1679856322136</v>
      </c>
      <c r="N46" s="1" t="s">
        <v>31</v>
      </c>
    </row>
    <row r="47" ht="15.75" customHeight="1">
      <c r="A47" s="1">
        <v>5.0</v>
      </c>
      <c r="B47" s="1">
        <v>313.0</v>
      </c>
      <c r="C47" s="1" t="s">
        <v>179</v>
      </c>
      <c r="D47" s="1" t="s">
        <v>54</v>
      </c>
      <c r="E47" s="1" t="s">
        <v>98</v>
      </c>
      <c r="F47" s="1" t="s">
        <v>349</v>
      </c>
      <c r="G47" s="1" t="s">
        <v>351</v>
      </c>
      <c r="H47" s="1">
        <v>0.0</v>
      </c>
      <c r="I47" s="1">
        <v>27.6324168503192</v>
      </c>
      <c r="J47" s="1" t="s">
        <v>33</v>
      </c>
      <c r="K47" s="1">
        <v>10.0866911317731</v>
      </c>
      <c r="L47" s="1">
        <v>10.6465138055956</v>
      </c>
      <c r="M47" s="1">
        <v>20.4119466845802</v>
      </c>
      <c r="N47" s="1" t="s">
        <v>31</v>
      </c>
    </row>
    <row r="48" ht="15.75" customHeight="1">
      <c r="A48" s="1">
        <v>5.0</v>
      </c>
      <c r="B48" s="1">
        <v>314.0</v>
      </c>
      <c r="C48" s="1" t="s">
        <v>179</v>
      </c>
      <c r="D48" s="1" t="s">
        <v>54</v>
      </c>
      <c r="E48" s="1" t="s">
        <v>98</v>
      </c>
      <c r="F48" s="1" t="s">
        <v>380</v>
      </c>
      <c r="G48" s="1" t="s">
        <v>383</v>
      </c>
      <c r="H48" s="1">
        <v>10.2848677677208</v>
      </c>
      <c r="I48" s="1">
        <v>28.6711901570867</v>
      </c>
      <c r="J48" s="1" t="s">
        <v>33</v>
      </c>
      <c r="K48" s="1">
        <v>10.2848677677208</v>
      </c>
      <c r="L48" s="1">
        <v>1.26834998286691</v>
      </c>
      <c r="M48" s="1">
        <v>8.97810616689421</v>
      </c>
      <c r="N48" s="1" t="s">
        <v>31</v>
      </c>
    </row>
    <row r="49" ht="15.75" customHeight="1">
      <c r="A49" s="1">
        <v>5.0</v>
      </c>
      <c r="B49" s="1">
        <v>315.0</v>
      </c>
      <c r="C49" s="1" t="s">
        <v>179</v>
      </c>
      <c r="D49" s="1" t="s">
        <v>54</v>
      </c>
      <c r="E49" s="1" t="s">
        <v>98</v>
      </c>
      <c r="F49" s="1" t="s">
        <v>401</v>
      </c>
      <c r="G49" s="1" t="s">
        <v>402</v>
      </c>
      <c r="H49" s="1">
        <v>0.0</v>
      </c>
      <c r="I49" s="1">
        <v>19.3473615775113</v>
      </c>
      <c r="J49" s="1" t="s">
        <v>33</v>
      </c>
      <c r="K49" s="1">
        <v>10.2848677677208</v>
      </c>
      <c r="L49" s="1">
        <v>0.872311911577172</v>
      </c>
      <c r="M49" s="1">
        <v>8.50262366676813</v>
      </c>
      <c r="N49" s="1" t="s">
        <v>31</v>
      </c>
    </row>
    <row r="50" ht="15.75" customHeight="1">
      <c r="A50" s="1">
        <v>5.0</v>
      </c>
      <c r="B50" s="1">
        <v>316.0</v>
      </c>
      <c r="C50" s="1" t="s">
        <v>55</v>
      </c>
      <c r="D50" s="1" t="s">
        <v>54</v>
      </c>
      <c r="E50" s="1" t="s">
        <v>98</v>
      </c>
      <c r="F50" s="1" t="s">
        <v>401</v>
      </c>
      <c r="G50" s="1" t="s">
        <v>402</v>
      </c>
      <c r="H50" s="1">
        <v>10.0405080050617</v>
      </c>
      <c r="I50" s="1">
        <v>19.3473615775113</v>
      </c>
      <c r="J50" s="1" t="s">
        <v>33</v>
      </c>
      <c r="K50" s="1">
        <v>0.0</v>
      </c>
      <c r="L50" s="1">
        <v>0.872311911577172</v>
      </c>
      <c r="M50" s="1">
        <v>8.50262366676813</v>
      </c>
      <c r="N50" s="1" t="s">
        <v>31</v>
      </c>
    </row>
    <row r="51" ht="15.75" customHeight="1">
      <c r="A51" s="1">
        <v>5.0</v>
      </c>
      <c r="B51" s="1">
        <v>317.0</v>
      </c>
      <c r="C51" s="1" t="s">
        <v>55</v>
      </c>
      <c r="D51" s="1" t="s">
        <v>54</v>
      </c>
      <c r="E51" s="1" t="s">
        <v>57</v>
      </c>
      <c r="F51" s="1" t="s">
        <v>404</v>
      </c>
      <c r="G51" s="1" t="s">
        <v>406</v>
      </c>
      <c r="H51" s="1">
        <v>10.0405080050617</v>
      </c>
      <c r="I51" s="1">
        <v>10.13109594284</v>
      </c>
      <c r="J51" s="1" t="s">
        <v>33</v>
      </c>
      <c r="K51" s="1">
        <v>10.0405080050617</v>
      </c>
      <c r="L51" s="1">
        <v>0.529357302995897</v>
      </c>
      <c r="M51" s="1">
        <v>10.5234395544076</v>
      </c>
      <c r="N51" s="1" t="s">
        <v>31</v>
      </c>
    </row>
    <row r="52" ht="15.75" customHeight="1">
      <c r="A52" s="1">
        <v>5.0</v>
      </c>
      <c r="B52" s="1">
        <v>318.0</v>
      </c>
      <c r="C52" s="1" t="s">
        <v>74</v>
      </c>
      <c r="D52" s="1" t="s">
        <v>54</v>
      </c>
      <c r="E52" s="1" t="s">
        <v>57</v>
      </c>
      <c r="F52" s="1" t="s">
        <v>408</v>
      </c>
      <c r="G52" s="1" t="s">
        <v>409</v>
      </c>
      <c r="H52" s="1">
        <v>0.0</v>
      </c>
      <c r="I52" s="1">
        <v>10.081854789486</v>
      </c>
      <c r="J52" s="1" t="s">
        <v>33</v>
      </c>
      <c r="K52" s="1">
        <v>19.3473615775113</v>
      </c>
      <c r="L52" s="1">
        <v>1.38468733390466</v>
      </c>
      <c r="M52" s="1">
        <v>14.3680846259723</v>
      </c>
      <c r="N52" s="1" t="s">
        <v>31</v>
      </c>
    </row>
    <row r="53" ht="15.75" customHeight="1">
      <c r="A53" s="1">
        <v>5.0</v>
      </c>
      <c r="B53" s="1">
        <v>319.0</v>
      </c>
      <c r="C53" s="1" t="s">
        <v>55</v>
      </c>
      <c r="D53" s="1" t="s">
        <v>54</v>
      </c>
      <c r="E53" s="1" t="s">
        <v>57</v>
      </c>
      <c r="F53" s="1" t="s">
        <v>408</v>
      </c>
      <c r="G53" s="1" t="s">
        <v>409</v>
      </c>
      <c r="H53" s="1">
        <v>10.13109594284</v>
      </c>
      <c r="I53" s="1">
        <v>0.0</v>
      </c>
      <c r="J53" s="1" t="s">
        <v>33</v>
      </c>
      <c r="K53" s="1">
        <v>19.3473615775113</v>
      </c>
      <c r="L53" s="1">
        <v>1.38468733390466</v>
      </c>
      <c r="M53" s="1">
        <v>14.3680846259723</v>
      </c>
      <c r="N53" s="1" t="s">
        <v>31</v>
      </c>
    </row>
    <row r="54" ht="15.75" customHeight="1">
      <c r="A54" s="1">
        <v>5.0</v>
      </c>
      <c r="B54" s="1">
        <v>320.0</v>
      </c>
      <c r="C54" s="1" t="s">
        <v>55</v>
      </c>
      <c r="D54" s="1" t="s">
        <v>54</v>
      </c>
      <c r="E54" s="1" t="s">
        <v>57</v>
      </c>
      <c r="F54" s="1" t="s">
        <v>408</v>
      </c>
      <c r="G54" s="1" t="s">
        <v>409</v>
      </c>
      <c r="H54" s="1">
        <v>10.13109594284</v>
      </c>
      <c r="I54" s="1">
        <v>0.0</v>
      </c>
      <c r="J54" s="1" t="s">
        <v>33</v>
      </c>
      <c r="K54" s="1">
        <v>19.3473615775113</v>
      </c>
      <c r="L54" s="1">
        <v>1.38468733390466</v>
      </c>
      <c r="M54" s="1">
        <v>14.3680846259723</v>
      </c>
      <c r="N54" s="1" t="s">
        <v>31</v>
      </c>
    </row>
    <row r="55" ht="15.75" customHeight="1">
      <c r="A55" s="1">
        <v>5.0</v>
      </c>
      <c r="B55" s="1">
        <v>321.0</v>
      </c>
      <c r="C55" s="1" t="s">
        <v>74</v>
      </c>
      <c r="D55" s="1" t="s">
        <v>54</v>
      </c>
      <c r="E55" s="1" t="s">
        <v>57</v>
      </c>
      <c r="F55" s="1" t="s">
        <v>413</v>
      </c>
      <c r="G55" s="1" t="s">
        <v>414</v>
      </c>
      <c r="H55" s="1">
        <v>10.081854789486</v>
      </c>
      <c r="I55" s="1">
        <v>10.0314140582377</v>
      </c>
      <c r="J55" s="1" t="s">
        <v>33</v>
      </c>
      <c r="K55" s="1">
        <v>20.2150816225928</v>
      </c>
      <c r="L55" s="1">
        <v>6.01134660510353</v>
      </c>
      <c r="M55" s="1">
        <v>14.4015036312888</v>
      </c>
      <c r="N55" s="1" t="s">
        <v>31</v>
      </c>
    </row>
    <row r="56" ht="15.75" customHeight="1">
      <c r="A56" s="1">
        <v>5.0</v>
      </c>
      <c r="B56" s="1">
        <v>322.0</v>
      </c>
      <c r="C56" s="1" t="s">
        <v>74</v>
      </c>
      <c r="D56" s="1" t="s">
        <v>54</v>
      </c>
      <c r="E56" s="1" t="s">
        <v>98</v>
      </c>
      <c r="F56" s="1" t="s">
        <v>416</v>
      </c>
      <c r="G56" s="1" t="s">
        <v>417</v>
      </c>
      <c r="H56" s="1">
        <v>10.7114049963506</v>
      </c>
      <c r="I56" s="1">
        <v>10.0314140582377</v>
      </c>
      <c r="J56" s="1" t="s">
        <v>33</v>
      </c>
      <c r="K56" s="1">
        <v>17.2664264109147</v>
      </c>
      <c r="L56" s="1">
        <v>4.49965630589792</v>
      </c>
      <c r="M56" s="1">
        <v>5.3150929367159</v>
      </c>
      <c r="N56" s="1" t="s">
        <v>31</v>
      </c>
    </row>
    <row r="57" ht="15.75" customHeight="1">
      <c r="A57" s="1">
        <v>5.0</v>
      </c>
      <c r="B57" s="1">
        <v>323.0</v>
      </c>
      <c r="C57" s="1" t="s">
        <v>55</v>
      </c>
      <c r="D57" s="1" t="s">
        <v>54</v>
      </c>
      <c r="E57" s="1" t="s">
        <v>57</v>
      </c>
      <c r="F57" s="1" t="s">
        <v>420</v>
      </c>
      <c r="G57" s="1" t="s">
        <v>421</v>
      </c>
      <c r="H57" s="1">
        <v>10.091095877109</v>
      </c>
      <c r="I57" s="1">
        <v>10.7114049963506</v>
      </c>
      <c r="J57" s="1" t="s">
        <v>33</v>
      </c>
      <c r="K57" s="1">
        <v>10.091095877109</v>
      </c>
      <c r="L57" s="1">
        <v>2.14639994515882</v>
      </c>
      <c r="M57" s="1">
        <v>3.57766766492507</v>
      </c>
      <c r="N57" s="1" t="s">
        <v>31</v>
      </c>
    </row>
    <row r="58" ht="15.75" customHeight="1">
      <c r="A58" s="1">
        <v>5.0</v>
      </c>
      <c r="B58" s="1">
        <v>324.0</v>
      </c>
      <c r="C58" s="1" t="s">
        <v>55</v>
      </c>
      <c r="D58" s="1" t="s">
        <v>54</v>
      </c>
      <c r="E58" s="1" t="s">
        <v>57</v>
      </c>
      <c r="F58" s="1" t="s">
        <v>420</v>
      </c>
      <c r="G58" s="1" t="s">
        <v>421</v>
      </c>
      <c r="H58" s="1">
        <v>10.091095877109</v>
      </c>
      <c r="I58" s="1">
        <v>10.7114049963506</v>
      </c>
      <c r="J58" s="1" t="s">
        <v>33</v>
      </c>
      <c r="K58" s="1">
        <v>10.091095877109</v>
      </c>
      <c r="L58" s="1">
        <v>2.14639994515882</v>
      </c>
      <c r="M58" s="1">
        <v>3.57766766492507</v>
      </c>
      <c r="N58" s="1" t="s">
        <v>31</v>
      </c>
    </row>
    <row r="59" ht="15.75" customHeight="1">
      <c r="A59" s="1">
        <v>5.0</v>
      </c>
      <c r="B59" s="1">
        <v>325.0</v>
      </c>
      <c r="C59" s="1" t="s">
        <v>179</v>
      </c>
      <c r="D59" s="1" t="s">
        <v>54</v>
      </c>
      <c r="E59" s="1" t="s">
        <v>57</v>
      </c>
      <c r="F59" s="1" t="s">
        <v>423</v>
      </c>
      <c r="G59" s="1" t="s">
        <v>424</v>
      </c>
      <c r="H59" s="1">
        <v>0.0</v>
      </c>
      <c r="I59" s="1">
        <v>10.8183409081212</v>
      </c>
      <c r="J59" s="1" t="s">
        <v>33</v>
      </c>
      <c r="K59" s="1">
        <v>39.8056544976908</v>
      </c>
      <c r="L59" s="1">
        <v>2.78802658047813</v>
      </c>
      <c r="M59" s="1">
        <v>12.1816044950511</v>
      </c>
      <c r="N59" s="1" t="s">
        <v>31</v>
      </c>
    </row>
    <row r="60" ht="15.75" customHeight="1">
      <c r="A60" s="1">
        <v>5.0</v>
      </c>
      <c r="B60" s="1">
        <v>326.0</v>
      </c>
      <c r="C60" s="1" t="s">
        <v>55</v>
      </c>
      <c r="D60" s="1" t="s">
        <v>54</v>
      </c>
      <c r="E60" s="1" t="s">
        <v>57</v>
      </c>
      <c r="F60" s="1" t="s">
        <v>423</v>
      </c>
      <c r="G60" s="1" t="s">
        <v>424</v>
      </c>
      <c r="H60" s="1">
        <v>10.091095877109</v>
      </c>
      <c r="I60" s="1">
        <v>10.8183409081212</v>
      </c>
      <c r="J60" s="1" t="s">
        <v>33</v>
      </c>
      <c r="K60" s="1">
        <v>0.0</v>
      </c>
      <c r="L60" s="1">
        <v>2.78802658047813</v>
      </c>
      <c r="M60" s="1">
        <v>12.1816044950511</v>
      </c>
      <c r="N60" s="1" t="s">
        <v>31</v>
      </c>
    </row>
    <row r="61" ht="15.75" customHeight="1">
      <c r="A61" s="1">
        <v>5.0</v>
      </c>
      <c r="B61" s="1">
        <v>327.0</v>
      </c>
      <c r="C61" s="1" t="s">
        <v>74</v>
      </c>
      <c r="D61" s="1" t="s">
        <v>54</v>
      </c>
      <c r="E61" s="1" t="s">
        <v>57</v>
      </c>
      <c r="F61" s="1" t="s">
        <v>429</v>
      </c>
      <c r="G61" s="1" t="s">
        <v>430</v>
      </c>
      <c r="H61" s="1">
        <v>0.0</v>
      </c>
      <c r="I61" s="1">
        <v>27.9156486761983</v>
      </c>
      <c r="J61" s="1" t="s">
        <v>33</v>
      </c>
      <c r="K61" s="1">
        <v>10.8183409081212</v>
      </c>
      <c r="L61" s="1">
        <v>1.25711607823275</v>
      </c>
      <c r="M61" s="1">
        <v>18.5956207792634</v>
      </c>
      <c r="N61" s="1" t="s">
        <v>31</v>
      </c>
    </row>
    <row r="62" ht="15.75" customHeight="1">
      <c r="A62" s="1">
        <v>5.0</v>
      </c>
      <c r="B62" s="1">
        <v>328.0</v>
      </c>
      <c r="C62" s="1" t="s">
        <v>55</v>
      </c>
      <c r="D62" s="1" t="s">
        <v>54</v>
      </c>
      <c r="E62" s="1" t="s">
        <v>57</v>
      </c>
      <c r="F62" s="1" t="s">
        <v>429</v>
      </c>
      <c r="G62" s="1" t="s">
        <v>430</v>
      </c>
      <c r="H62" s="1">
        <v>10.0843343850897</v>
      </c>
      <c r="I62" s="1">
        <v>0.0</v>
      </c>
      <c r="J62" s="1" t="s">
        <v>33</v>
      </c>
      <c r="K62" s="1">
        <v>10.8183409081212</v>
      </c>
      <c r="L62" s="1">
        <v>1.25711607823275</v>
      </c>
      <c r="M62" s="1">
        <v>18.5956207792634</v>
      </c>
      <c r="N62" s="1" t="s">
        <v>31</v>
      </c>
    </row>
    <row r="63" ht="15.75" customHeight="1">
      <c r="A63" s="1">
        <v>5.0</v>
      </c>
      <c r="B63" s="1">
        <v>329.0</v>
      </c>
      <c r="C63" s="1" t="s">
        <v>74</v>
      </c>
      <c r="D63" s="1" t="s">
        <v>54</v>
      </c>
      <c r="E63" s="1" t="s">
        <v>57</v>
      </c>
      <c r="F63" s="1" t="s">
        <v>429</v>
      </c>
      <c r="G63" s="1" t="s">
        <v>430</v>
      </c>
      <c r="H63" s="1">
        <v>0.0</v>
      </c>
      <c r="I63" s="1">
        <v>27.9156486761983</v>
      </c>
      <c r="J63" s="1" t="s">
        <v>33</v>
      </c>
      <c r="K63" s="1">
        <v>10.8183409081212</v>
      </c>
      <c r="L63" s="1">
        <v>1.25711607823275</v>
      </c>
      <c r="M63" s="1">
        <v>18.5956207792634</v>
      </c>
      <c r="N63" s="1" t="s">
        <v>31</v>
      </c>
    </row>
    <row r="64" ht="15.75" customHeight="1">
      <c r="A64" s="1">
        <v>5.0</v>
      </c>
      <c r="B64" s="1">
        <v>330.0</v>
      </c>
      <c r="C64" s="1" t="s">
        <v>55</v>
      </c>
      <c r="D64" s="1" t="s">
        <v>54</v>
      </c>
      <c r="E64" s="1" t="s">
        <v>57</v>
      </c>
      <c r="F64" s="1" t="s">
        <v>448</v>
      </c>
      <c r="G64" s="1" t="s">
        <v>449</v>
      </c>
      <c r="H64" s="1">
        <v>10.0843343850897</v>
      </c>
      <c r="I64" s="1">
        <v>10.0843343850897</v>
      </c>
      <c r="J64" s="1" t="s">
        <v>33</v>
      </c>
      <c r="K64" s="1">
        <v>20.7400216970431</v>
      </c>
      <c r="L64" s="1">
        <v>3.63431423615192</v>
      </c>
      <c r="M64" s="1">
        <v>26.3965561065208</v>
      </c>
      <c r="N64" s="1" t="s">
        <v>31</v>
      </c>
    </row>
    <row r="65" ht="15.75" customHeight="1">
      <c r="A65" s="1">
        <v>5.0</v>
      </c>
      <c r="B65" s="1">
        <v>331.0</v>
      </c>
      <c r="C65" s="1" t="s">
        <v>55</v>
      </c>
      <c r="D65" s="1" t="s">
        <v>54</v>
      </c>
      <c r="E65" s="1" t="s">
        <v>57</v>
      </c>
      <c r="F65" s="1" t="s">
        <v>456</v>
      </c>
      <c r="G65" s="1" t="s">
        <v>457</v>
      </c>
      <c r="H65" s="1">
        <v>10.1800075638602</v>
      </c>
      <c r="I65" s="1">
        <v>17.3079760225034</v>
      </c>
      <c r="J65" s="1" t="s">
        <v>33</v>
      </c>
      <c r="K65" s="1">
        <v>15.2250831192932</v>
      </c>
      <c r="L65" s="1">
        <v>2.94135344827896</v>
      </c>
      <c r="M65" s="1">
        <v>22.3875159001926</v>
      </c>
      <c r="N65" s="1" t="s">
        <v>31</v>
      </c>
    </row>
    <row r="66" ht="15.75" customHeight="1">
      <c r="A66" s="1">
        <v>5.0</v>
      </c>
      <c r="B66" s="1">
        <v>332.0</v>
      </c>
      <c r="C66" s="1" t="s">
        <v>55</v>
      </c>
      <c r="D66" s="1" t="s">
        <v>54</v>
      </c>
      <c r="E66" s="1" t="s">
        <v>57</v>
      </c>
      <c r="F66" s="1" t="s">
        <v>459</v>
      </c>
      <c r="G66" s="1" t="s">
        <v>461</v>
      </c>
      <c r="H66" s="1">
        <v>10.9220625344005</v>
      </c>
      <c r="I66" s="1">
        <v>10.7830202169195</v>
      </c>
      <c r="J66" s="1" t="s">
        <v>33</v>
      </c>
      <c r="K66" s="1">
        <v>15.4764944993872</v>
      </c>
      <c r="L66" s="1">
        <v>0.709666309492883</v>
      </c>
      <c r="M66" s="1">
        <v>28.3202483944174</v>
      </c>
      <c r="N66" s="1" t="s">
        <v>31</v>
      </c>
    </row>
    <row r="67" ht="15.75" customHeight="1">
      <c r="A67" s="1">
        <v>5.0</v>
      </c>
      <c r="B67" s="1">
        <v>333.0</v>
      </c>
      <c r="C67" s="1" t="s">
        <v>55</v>
      </c>
      <c r="D67" s="1" t="s">
        <v>54</v>
      </c>
      <c r="E67" s="1" t="s">
        <v>57</v>
      </c>
      <c r="F67" s="1" t="s">
        <v>459</v>
      </c>
      <c r="G67" s="1" t="s">
        <v>461</v>
      </c>
      <c r="H67" s="1">
        <v>10.9220625344005</v>
      </c>
      <c r="I67" s="1">
        <v>10.7830202169195</v>
      </c>
      <c r="J67" s="1" t="s">
        <v>33</v>
      </c>
      <c r="K67" s="1">
        <v>15.4764944993872</v>
      </c>
      <c r="L67" s="1">
        <v>0.709666309492883</v>
      </c>
      <c r="M67" s="1">
        <v>28.3202483944174</v>
      </c>
      <c r="N67" s="1" t="s">
        <v>31</v>
      </c>
    </row>
    <row r="68" ht="15.75" customHeight="1">
      <c r="A68" s="1">
        <v>5.0</v>
      </c>
      <c r="B68" s="1">
        <v>334.0</v>
      </c>
      <c r="C68" s="1" t="s">
        <v>74</v>
      </c>
      <c r="D68" s="1" t="s">
        <v>54</v>
      </c>
      <c r="E68" s="1" t="s">
        <v>98</v>
      </c>
      <c r="F68" s="1" t="s">
        <v>464</v>
      </c>
      <c r="G68" s="1" t="s">
        <v>465</v>
      </c>
      <c r="H68" s="1">
        <v>10.1704183786407</v>
      </c>
      <c r="I68" s="1">
        <v>33.4746804761674</v>
      </c>
      <c r="J68" s="1" t="s">
        <v>33</v>
      </c>
      <c r="K68" s="1">
        <v>15.7045218011511</v>
      </c>
      <c r="L68" s="1">
        <v>5.25420037452939</v>
      </c>
      <c r="M68" s="1">
        <v>38.8839068684234</v>
      </c>
      <c r="N68" s="1" t="s">
        <v>31</v>
      </c>
    </row>
    <row r="69" ht="15.75" customHeight="1">
      <c r="A69" s="1">
        <v>5.0</v>
      </c>
      <c r="B69" s="1">
        <v>335.0</v>
      </c>
      <c r="C69" s="1" t="s">
        <v>55</v>
      </c>
      <c r="D69" s="1" t="s">
        <v>54</v>
      </c>
      <c r="E69" s="1" t="s">
        <v>98</v>
      </c>
      <c r="F69" s="1" t="s">
        <v>467</v>
      </c>
      <c r="G69" s="1" t="s">
        <v>468</v>
      </c>
      <c r="H69" s="1">
        <v>20.9237113579342</v>
      </c>
      <c r="I69" s="1">
        <v>10.1704183786407</v>
      </c>
      <c r="J69" s="1" t="s">
        <v>33</v>
      </c>
      <c r="K69" s="1">
        <v>17.7624356719697</v>
      </c>
      <c r="L69" s="1">
        <v>10.866286424734</v>
      </c>
      <c r="M69" s="1">
        <v>49.0080221200573</v>
      </c>
      <c r="N69" s="1" t="s">
        <v>31</v>
      </c>
    </row>
    <row r="70" ht="15.75" customHeight="1">
      <c r="A70" s="1">
        <v>5.0</v>
      </c>
      <c r="B70" s="1">
        <v>336.0</v>
      </c>
      <c r="C70" s="1" t="s">
        <v>55</v>
      </c>
      <c r="D70" s="1" t="s">
        <v>54</v>
      </c>
      <c r="E70" s="1" t="s">
        <v>57</v>
      </c>
      <c r="F70" s="1" t="s">
        <v>471</v>
      </c>
      <c r="G70" s="1" t="s">
        <v>472</v>
      </c>
      <c r="H70" s="1">
        <v>46.4771862530582</v>
      </c>
      <c r="I70" s="1">
        <v>55.1912963064146</v>
      </c>
      <c r="J70" s="1" t="s">
        <v>33</v>
      </c>
      <c r="K70" s="1">
        <v>48.094200284218</v>
      </c>
      <c r="L70" s="1">
        <v>9.79391454091776</v>
      </c>
      <c r="M70" s="1">
        <v>87.4425487042324</v>
      </c>
      <c r="N70" s="1" t="s">
        <v>31</v>
      </c>
    </row>
    <row r="71" ht="15.75" customHeight="1">
      <c r="A71" s="1">
        <v>5.0</v>
      </c>
      <c r="B71" s="1">
        <v>337.0</v>
      </c>
      <c r="C71" s="1" t="s">
        <v>179</v>
      </c>
      <c r="D71" s="1" t="s">
        <v>54</v>
      </c>
      <c r="E71" s="1" t="s">
        <v>57</v>
      </c>
      <c r="F71" s="1" t="s">
        <v>476</v>
      </c>
      <c r="G71" s="1" t="s">
        <v>477</v>
      </c>
      <c r="H71" s="1">
        <v>17.7624356719697</v>
      </c>
      <c r="I71" s="1">
        <v>15.7045218011511</v>
      </c>
      <c r="J71" s="1" t="s">
        <v>33</v>
      </c>
      <c r="K71" s="1">
        <v>29.9678700608362</v>
      </c>
      <c r="L71" s="1">
        <v>6.23858578944291</v>
      </c>
      <c r="M71" s="1">
        <v>39.6033536835574</v>
      </c>
      <c r="N71" s="1" t="s">
        <v>31</v>
      </c>
    </row>
    <row r="72" ht="15.75" customHeight="1">
      <c r="A72" s="1">
        <v>5.0</v>
      </c>
      <c r="B72" s="1">
        <v>338.0</v>
      </c>
      <c r="C72" s="1" t="s">
        <v>179</v>
      </c>
      <c r="D72" s="1" t="s">
        <v>54</v>
      </c>
      <c r="E72" s="1" t="s">
        <v>57</v>
      </c>
      <c r="F72" s="1" t="s">
        <v>481</v>
      </c>
      <c r="G72" s="1" t="s">
        <v>483</v>
      </c>
      <c r="H72" s="1">
        <v>15.2250831192932</v>
      </c>
      <c r="I72" s="1">
        <v>25.7750752662384</v>
      </c>
      <c r="J72" s="1" t="s">
        <v>33</v>
      </c>
      <c r="K72" s="1">
        <v>29.9678700608362</v>
      </c>
      <c r="L72" s="1">
        <v>14.8119695162457</v>
      </c>
      <c r="M72" s="1">
        <v>13.1196019806231</v>
      </c>
      <c r="N72" s="1" t="s">
        <v>31</v>
      </c>
    </row>
    <row r="73" ht="15.75" customHeight="1">
      <c r="A73" s="1">
        <v>7.0</v>
      </c>
      <c r="B73" s="1">
        <v>294.0</v>
      </c>
      <c r="C73" s="1" t="s">
        <v>74</v>
      </c>
      <c r="D73" s="1" t="s">
        <v>485</v>
      </c>
      <c r="E73" s="1" t="s">
        <v>57</v>
      </c>
      <c r="F73" s="1" t="s">
        <v>486</v>
      </c>
      <c r="G73" s="1" t="s">
        <v>487</v>
      </c>
      <c r="H73" s="1">
        <v>10.4187756005486</v>
      </c>
      <c r="I73" s="1">
        <v>57.0178138131105</v>
      </c>
      <c r="J73" s="1" t="s">
        <v>33</v>
      </c>
      <c r="K73" s="1" t="s">
        <v>33</v>
      </c>
      <c r="L73" s="1">
        <v>69.58064700677</v>
      </c>
      <c r="M73" s="1">
        <v>17.3450732585761</v>
      </c>
      <c r="N73" s="1" t="s">
        <v>31</v>
      </c>
    </row>
    <row r="74" ht="15.75" customHeight="1">
      <c r="A74" s="1">
        <v>7.0</v>
      </c>
      <c r="B74" s="1">
        <v>295.0</v>
      </c>
      <c r="C74" s="1" t="s">
        <v>55</v>
      </c>
      <c r="D74" s="1" t="s">
        <v>485</v>
      </c>
      <c r="E74" s="1" t="s">
        <v>57</v>
      </c>
      <c r="F74" s="1" t="s">
        <v>488</v>
      </c>
      <c r="G74" s="1" t="s">
        <v>489</v>
      </c>
      <c r="H74" s="1">
        <v>53.6134676457018</v>
      </c>
      <c r="I74" s="1">
        <v>10.4187756005486</v>
      </c>
      <c r="J74" s="1" t="s">
        <v>33</v>
      </c>
      <c r="K74" s="1" t="s">
        <v>33</v>
      </c>
      <c r="L74" s="1">
        <v>73.7720624694903</v>
      </c>
      <c r="M74" s="1">
        <v>19.5375784937818</v>
      </c>
      <c r="N74" s="1" t="s">
        <v>31</v>
      </c>
    </row>
    <row r="75" ht="15.75" customHeight="1">
      <c r="A75" s="1">
        <v>7.0</v>
      </c>
      <c r="B75" s="1">
        <v>296.0</v>
      </c>
      <c r="C75" s="1" t="s">
        <v>74</v>
      </c>
      <c r="D75" s="1" t="s">
        <v>485</v>
      </c>
      <c r="E75" s="1" t="s">
        <v>57</v>
      </c>
      <c r="F75" s="1" t="s">
        <v>492</v>
      </c>
      <c r="G75" s="1" t="s">
        <v>493</v>
      </c>
      <c r="H75" s="1">
        <v>0.0</v>
      </c>
      <c r="I75" s="1">
        <v>46.7892150179044</v>
      </c>
      <c r="J75" s="1" t="s">
        <v>33</v>
      </c>
      <c r="K75" s="1" t="s">
        <v>33</v>
      </c>
      <c r="L75" s="1">
        <v>126.512141359865</v>
      </c>
      <c r="M75" s="1">
        <v>72.1697754866227</v>
      </c>
      <c r="N75" s="1" t="s">
        <v>31</v>
      </c>
    </row>
    <row r="76" ht="15.75" customHeight="1">
      <c r="A76" s="1">
        <v>7.0</v>
      </c>
      <c r="B76" s="1">
        <v>297.0</v>
      </c>
      <c r="C76" s="1" t="s">
        <v>55</v>
      </c>
      <c r="D76" s="1" t="s">
        <v>485</v>
      </c>
      <c r="E76" s="1" t="s">
        <v>57</v>
      </c>
      <c r="F76" s="1" t="s">
        <v>492</v>
      </c>
      <c r="G76" s="1" t="s">
        <v>493</v>
      </c>
      <c r="H76" s="1">
        <v>10.0394524251511</v>
      </c>
      <c r="I76" s="1">
        <v>0.0</v>
      </c>
      <c r="J76" s="1" t="s">
        <v>33</v>
      </c>
      <c r="K76" s="1" t="s">
        <v>33</v>
      </c>
      <c r="L76" s="1">
        <v>126.512141359865</v>
      </c>
      <c r="M76" s="1">
        <v>72.1697754866227</v>
      </c>
      <c r="N76" s="1" t="s">
        <v>31</v>
      </c>
    </row>
    <row r="77" ht="15.75" customHeight="1">
      <c r="A77" s="1">
        <v>7.0</v>
      </c>
      <c r="B77" s="1">
        <v>298.0</v>
      </c>
      <c r="C77" s="1" t="s">
        <v>55</v>
      </c>
      <c r="D77" s="1" t="s">
        <v>485</v>
      </c>
      <c r="E77" s="1" t="s">
        <v>98</v>
      </c>
      <c r="F77" s="1" t="s">
        <v>497</v>
      </c>
      <c r="G77" s="1" t="s">
        <v>498</v>
      </c>
      <c r="H77" s="1">
        <v>10.0394524251511</v>
      </c>
      <c r="I77" s="1">
        <v>10.0394524251511</v>
      </c>
      <c r="J77" s="1" t="s">
        <v>33</v>
      </c>
      <c r="K77" s="1" t="s">
        <v>33</v>
      </c>
      <c r="L77" s="1">
        <v>134.099173201333</v>
      </c>
      <c r="M77" s="1">
        <v>81.040041580549</v>
      </c>
      <c r="N77" s="1" t="s">
        <v>31</v>
      </c>
    </row>
    <row r="78" ht="15.75" customHeight="1">
      <c r="A78" s="1">
        <v>8.0</v>
      </c>
      <c r="B78" s="1">
        <v>277.0</v>
      </c>
      <c r="C78" s="1" t="s">
        <v>74</v>
      </c>
      <c r="D78" s="1" t="s">
        <v>77</v>
      </c>
      <c r="E78" s="1" t="s">
        <v>57</v>
      </c>
      <c r="F78" s="1" t="s">
        <v>501</v>
      </c>
      <c r="G78" s="1" t="s">
        <v>502</v>
      </c>
      <c r="H78" s="1">
        <v>0.0</v>
      </c>
      <c r="I78" s="1">
        <v>6.77221093211001</v>
      </c>
      <c r="J78" s="1">
        <v>20.6853473775607</v>
      </c>
      <c r="K78" s="1">
        <v>17.7156084253955</v>
      </c>
      <c r="L78" s="1">
        <v>17.1414515655692</v>
      </c>
      <c r="M78" s="1">
        <v>45.3111894570826</v>
      </c>
      <c r="N78" s="1" t="s">
        <v>31</v>
      </c>
    </row>
    <row r="79" ht="15.75" customHeight="1">
      <c r="A79" s="1">
        <v>8.0</v>
      </c>
      <c r="B79" s="1">
        <v>278.0</v>
      </c>
      <c r="C79" s="1" t="s">
        <v>55</v>
      </c>
      <c r="D79" s="1" t="s">
        <v>77</v>
      </c>
      <c r="E79" s="1" t="s">
        <v>57</v>
      </c>
      <c r="F79" s="1" t="s">
        <v>501</v>
      </c>
      <c r="G79" s="1" t="s">
        <v>502</v>
      </c>
      <c r="H79" s="1">
        <v>5.58582581283457</v>
      </c>
      <c r="I79" s="1">
        <v>0.0</v>
      </c>
      <c r="J79" s="1">
        <v>20.6853473775607</v>
      </c>
      <c r="K79" s="1">
        <v>17.7156084253955</v>
      </c>
      <c r="L79" s="1">
        <v>17.1414515655692</v>
      </c>
      <c r="M79" s="1">
        <v>45.3111894570826</v>
      </c>
      <c r="N79" s="1" t="s">
        <v>31</v>
      </c>
    </row>
    <row r="80" ht="15.75" customHeight="1">
      <c r="A80" s="1">
        <v>8.0</v>
      </c>
      <c r="B80" s="1">
        <v>279.0</v>
      </c>
      <c r="C80" s="1" t="s">
        <v>74</v>
      </c>
      <c r="D80" s="1" t="s">
        <v>77</v>
      </c>
      <c r="E80" s="1" t="s">
        <v>98</v>
      </c>
      <c r="F80" s="1" t="s">
        <v>504</v>
      </c>
      <c r="G80" s="1" t="s">
        <v>505</v>
      </c>
      <c r="H80" s="1">
        <v>10.0946166342079</v>
      </c>
      <c r="I80" s="1">
        <v>9.10955523530595</v>
      </c>
      <c r="J80" s="1">
        <v>51.046809830767</v>
      </c>
      <c r="K80" s="1">
        <v>33.5338281396813</v>
      </c>
      <c r="L80" s="1">
        <v>2.82351718382508</v>
      </c>
      <c r="M80" s="1">
        <v>22.9052866987034</v>
      </c>
      <c r="N80" s="1" t="s">
        <v>31</v>
      </c>
    </row>
    <row r="81" ht="15.75" customHeight="1">
      <c r="A81" s="1">
        <v>8.0</v>
      </c>
      <c r="B81" s="1">
        <v>280.0</v>
      </c>
      <c r="C81" s="1" t="s">
        <v>55</v>
      </c>
      <c r="D81" s="1" t="s">
        <v>77</v>
      </c>
      <c r="E81" s="1" t="s">
        <v>57</v>
      </c>
      <c r="F81" s="1" t="s">
        <v>506</v>
      </c>
      <c r="G81" s="1" t="s">
        <v>507</v>
      </c>
      <c r="H81" s="1">
        <v>7.12528512680474</v>
      </c>
      <c r="I81" s="1">
        <v>5.78359656821592</v>
      </c>
      <c r="J81" s="1">
        <v>61.0856189380991</v>
      </c>
      <c r="K81" s="1">
        <v>37.6693826071064</v>
      </c>
      <c r="L81" s="1">
        <v>5.27565276654052</v>
      </c>
      <c r="M81" s="1">
        <v>27.2603106042835</v>
      </c>
      <c r="N81" s="1" t="s">
        <v>31</v>
      </c>
    </row>
    <row r="82" ht="15.75" customHeight="1">
      <c r="A82" s="1">
        <v>8.0</v>
      </c>
      <c r="B82" s="1">
        <v>281.0</v>
      </c>
      <c r="C82" s="1" t="s">
        <v>74</v>
      </c>
      <c r="D82" s="1" t="s">
        <v>77</v>
      </c>
      <c r="E82" s="1" t="s">
        <v>98</v>
      </c>
      <c r="F82" s="1" t="s">
        <v>510</v>
      </c>
      <c r="G82" s="1" t="s">
        <v>511</v>
      </c>
      <c r="H82" s="1">
        <v>0.0</v>
      </c>
      <c r="I82" s="1">
        <v>7.35429939719229</v>
      </c>
      <c r="J82" s="1">
        <v>65.5014154887689</v>
      </c>
      <c r="K82" s="1">
        <v>15.9550897834952</v>
      </c>
      <c r="L82" s="1">
        <v>11.8809295522527</v>
      </c>
      <c r="M82" s="1">
        <v>1.63106179290518</v>
      </c>
      <c r="N82" s="1" t="s">
        <v>31</v>
      </c>
    </row>
    <row r="83" ht="15.75" customHeight="1">
      <c r="A83" s="1">
        <v>8.0</v>
      </c>
      <c r="B83" s="1">
        <v>282.0</v>
      </c>
      <c r="C83" s="1" t="s">
        <v>55</v>
      </c>
      <c r="D83" s="1" t="s">
        <v>77</v>
      </c>
      <c r="E83" s="1" t="s">
        <v>98</v>
      </c>
      <c r="F83" s="1" t="s">
        <v>510</v>
      </c>
      <c r="G83" s="1" t="s">
        <v>511</v>
      </c>
      <c r="H83" s="1">
        <v>15.9550897834952</v>
      </c>
      <c r="I83" s="1">
        <v>0.0</v>
      </c>
      <c r="J83" s="1">
        <v>65.5014154887689</v>
      </c>
      <c r="K83" s="1">
        <v>15.9550897834952</v>
      </c>
      <c r="L83" s="1">
        <v>11.8809295522527</v>
      </c>
      <c r="M83" s="1">
        <v>1.63106179290518</v>
      </c>
      <c r="N83" s="1" t="s">
        <v>31</v>
      </c>
    </row>
    <row r="84" ht="15.75" customHeight="1">
      <c r="A84" s="1">
        <v>8.0</v>
      </c>
      <c r="B84" s="1">
        <v>283.0</v>
      </c>
      <c r="C84" s="1" t="s">
        <v>55</v>
      </c>
      <c r="D84" s="1" t="s">
        <v>77</v>
      </c>
      <c r="E84" s="1" t="s">
        <v>57</v>
      </c>
      <c r="F84" s="1" t="s">
        <v>513</v>
      </c>
      <c r="G84" s="1" t="s">
        <v>514</v>
      </c>
      <c r="H84" s="1">
        <v>10.098035699924</v>
      </c>
      <c r="I84" s="1">
        <v>0.0</v>
      </c>
      <c r="J84" s="1">
        <v>61.1016681406976</v>
      </c>
      <c r="K84" s="1">
        <v>27.1566122519529</v>
      </c>
      <c r="L84" s="1">
        <v>29.213216142031</v>
      </c>
      <c r="M84" s="1">
        <v>14.7594739489931</v>
      </c>
      <c r="N84" s="1" t="s">
        <v>31</v>
      </c>
    </row>
    <row r="85" ht="15.75" customHeight="1">
      <c r="A85" s="1">
        <v>8.0</v>
      </c>
      <c r="B85" s="1">
        <v>284.0</v>
      </c>
      <c r="C85" s="1" t="s">
        <v>74</v>
      </c>
      <c r="D85" s="1" t="s">
        <v>77</v>
      </c>
      <c r="E85" s="1" t="s">
        <v>57</v>
      </c>
      <c r="F85" s="1" t="s">
        <v>513</v>
      </c>
      <c r="G85" s="1" t="s">
        <v>514</v>
      </c>
      <c r="H85" s="1">
        <v>0.0</v>
      </c>
      <c r="I85" s="1">
        <v>10.098035699924</v>
      </c>
      <c r="J85" s="1">
        <v>61.1016681406976</v>
      </c>
      <c r="K85" s="1">
        <v>27.1566122519529</v>
      </c>
      <c r="L85" s="1">
        <v>29.213216142031</v>
      </c>
      <c r="M85" s="1">
        <v>14.7594739489931</v>
      </c>
      <c r="N85" s="1" t="s">
        <v>31</v>
      </c>
    </row>
    <row r="86" ht="15.75" customHeight="1">
      <c r="A86" s="1">
        <v>8.0</v>
      </c>
      <c r="B86" s="1">
        <v>285.0</v>
      </c>
      <c r="C86" s="1" t="s">
        <v>55</v>
      </c>
      <c r="D86" s="1" t="s">
        <v>77</v>
      </c>
      <c r="E86" s="1" t="s">
        <v>57</v>
      </c>
      <c r="F86" s="1" t="s">
        <v>518</v>
      </c>
      <c r="G86" s="1" t="s">
        <v>520</v>
      </c>
      <c r="H86" s="1">
        <v>10.098035699924</v>
      </c>
      <c r="I86" s="1">
        <v>0.0</v>
      </c>
      <c r="J86" s="1">
        <v>70.7969409318056</v>
      </c>
      <c r="K86" s="1">
        <v>20.4712556526494</v>
      </c>
      <c r="L86" s="1">
        <v>28.70446171577</v>
      </c>
      <c r="M86" s="1">
        <v>20.5282719344676</v>
      </c>
      <c r="N86" s="1" t="s">
        <v>31</v>
      </c>
    </row>
    <row r="87" ht="15.75" customHeight="1">
      <c r="A87" s="1">
        <v>8.0</v>
      </c>
      <c r="B87" s="1">
        <v>286.0</v>
      </c>
      <c r="C87" s="1" t="s">
        <v>74</v>
      </c>
      <c r="D87" s="1" t="s">
        <v>77</v>
      </c>
      <c r="E87" s="1" t="s">
        <v>57</v>
      </c>
      <c r="F87" s="1" t="s">
        <v>518</v>
      </c>
      <c r="G87" s="1" t="s">
        <v>520</v>
      </c>
      <c r="H87" s="1">
        <v>0.0</v>
      </c>
      <c r="I87" s="1">
        <v>10.098035699924</v>
      </c>
      <c r="J87" s="1">
        <v>70.7969409318056</v>
      </c>
      <c r="K87" s="1">
        <v>20.4712556526494</v>
      </c>
      <c r="L87" s="1">
        <v>28.70446171577</v>
      </c>
      <c r="M87" s="1">
        <v>20.5282719344676</v>
      </c>
      <c r="N87" s="1" t="s">
        <v>31</v>
      </c>
    </row>
    <row r="88" ht="15.75" customHeight="1">
      <c r="A88" s="1">
        <v>8.0</v>
      </c>
      <c r="B88" s="1">
        <v>287.0</v>
      </c>
      <c r="C88" s="1" t="s">
        <v>74</v>
      </c>
      <c r="D88" s="1" t="s">
        <v>77</v>
      </c>
      <c r="E88" s="1" t="s">
        <v>57</v>
      </c>
      <c r="F88" s="1" t="s">
        <v>524</v>
      </c>
      <c r="G88" s="1" t="s">
        <v>525</v>
      </c>
      <c r="H88" s="1">
        <v>10.5346460785946</v>
      </c>
      <c r="I88" s="1">
        <v>10.5346460785946</v>
      </c>
      <c r="J88" s="1">
        <v>81.3266374861815</v>
      </c>
      <c r="K88" s="1">
        <v>10.0768695534924</v>
      </c>
      <c r="L88" s="1">
        <v>28.8531879803463</v>
      </c>
      <c r="M88" s="1">
        <v>25.9755308773897</v>
      </c>
      <c r="N88" s="1" t="s">
        <v>31</v>
      </c>
    </row>
    <row r="89" ht="15.75" customHeight="1">
      <c r="A89" s="1">
        <v>8.0</v>
      </c>
      <c r="B89" s="1">
        <v>288.0</v>
      </c>
      <c r="C89" s="1" t="s">
        <v>179</v>
      </c>
      <c r="D89" s="1" t="s">
        <v>77</v>
      </c>
      <c r="E89" s="1" t="s">
        <v>98</v>
      </c>
      <c r="F89" s="1" t="s">
        <v>527</v>
      </c>
      <c r="G89" s="1" t="s">
        <v>528</v>
      </c>
      <c r="H89" s="1">
        <v>20.4712556526494</v>
      </c>
      <c r="I89" s="1">
        <v>10.0768695534924</v>
      </c>
      <c r="J89" s="1">
        <v>91.2157372632374</v>
      </c>
      <c r="K89" s="1">
        <v>23.8148310303253</v>
      </c>
      <c r="L89" s="1">
        <v>34.3106541883425</v>
      </c>
      <c r="M89" s="1">
        <v>33.5349382008798</v>
      </c>
      <c r="N89" s="1" t="s">
        <v>31</v>
      </c>
    </row>
    <row r="90" ht="15.75" customHeight="1">
      <c r="A90" s="1">
        <v>8.0</v>
      </c>
      <c r="B90" s="1">
        <v>289.0</v>
      </c>
      <c r="C90" s="1" t="s">
        <v>55</v>
      </c>
      <c r="D90" s="1" t="s">
        <v>77</v>
      </c>
      <c r="E90" s="1" t="s">
        <v>98</v>
      </c>
      <c r="F90" s="1" t="s">
        <v>532</v>
      </c>
      <c r="G90" s="1" t="s">
        <v>533</v>
      </c>
      <c r="H90" s="1">
        <v>15.9550897834952</v>
      </c>
      <c r="I90" s="1">
        <v>10.6960388706416</v>
      </c>
      <c r="J90" s="1">
        <v>81.3745852190016</v>
      </c>
      <c r="K90" s="1">
        <v>0.0</v>
      </c>
      <c r="L90" s="1">
        <v>5.33083534270989</v>
      </c>
      <c r="M90" s="1">
        <v>5.670028768686</v>
      </c>
      <c r="N90" s="1" t="s">
        <v>31</v>
      </c>
    </row>
    <row r="91" ht="15.75" customHeight="1">
      <c r="A91" s="1">
        <v>8.0</v>
      </c>
      <c r="B91" s="1">
        <v>290.0</v>
      </c>
      <c r="C91" s="1" t="s">
        <v>179</v>
      </c>
      <c r="D91" s="1" t="s">
        <v>77</v>
      </c>
      <c r="E91" s="1" t="s">
        <v>98</v>
      </c>
      <c r="F91" s="1" t="s">
        <v>532</v>
      </c>
      <c r="G91" s="1" t="s">
        <v>533</v>
      </c>
      <c r="H91" s="1">
        <v>0.0</v>
      </c>
      <c r="I91" s="1">
        <v>10.6960388706416</v>
      </c>
      <c r="J91" s="1">
        <v>81.3745852190016</v>
      </c>
      <c r="K91" s="1">
        <v>20.5634879577219</v>
      </c>
      <c r="L91" s="1">
        <v>5.33083534270989</v>
      </c>
      <c r="M91" s="1">
        <v>5.670028768686</v>
      </c>
      <c r="N91" s="1" t="s">
        <v>31</v>
      </c>
    </row>
    <row r="92" ht="15.75" customHeight="1">
      <c r="A92" s="1">
        <v>8.0</v>
      </c>
      <c r="B92" s="1">
        <v>291.0</v>
      </c>
      <c r="C92" s="1" t="s">
        <v>179</v>
      </c>
      <c r="D92" s="1" t="s">
        <v>77</v>
      </c>
      <c r="E92" s="1" t="s">
        <v>98</v>
      </c>
      <c r="F92" s="1" t="s">
        <v>537</v>
      </c>
      <c r="G92" s="1" t="s">
        <v>538</v>
      </c>
      <c r="H92" s="1">
        <v>20.5634879577219</v>
      </c>
      <c r="I92" s="1">
        <v>0.0</v>
      </c>
      <c r="J92" s="1">
        <v>100.349717705895</v>
      </c>
      <c r="K92" s="1">
        <v>19.9318826509907</v>
      </c>
      <c r="L92" s="1">
        <v>24.4879628893555</v>
      </c>
      <c r="M92" s="1">
        <v>20.067907243848</v>
      </c>
      <c r="N92" s="1" t="s">
        <v>31</v>
      </c>
    </row>
    <row r="93" ht="15.75" customHeight="1">
      <c r="A93" s="1">
        <v>8.0</v>
      </c>
      <c r="B93" s="1">
        <v>292.0</v>
      </c>
      <c r="C93" s="1" t="s">
        <v>74</v>
      </c>
      <c r="D93" s="1" t="s">
        <v>77</v>
      </c>
      <c r="E93" s="1" t="s">
        <v>98</v>
      </c>
      <c r="F93" s="1" t="s">
        <v>537</v>
      </c>
      <c r="G93" s="1" t="s">
        <v>538</v>
      </c>
      <c r="H93" s="1">
        <v>20.5634879577219</v>
      </c>
      <c r="I93" s="1">
        <v>26.7092021032267</v>
      </c>
      <c r="J93" s="1">
        <v>100.349717705895</v>
      </c>
      <c r="K93" s="1">
        <v>0.0</v>
      </c>
      <c r="L93" s="1">
        <v>24.4879628893555</v>
      </c>
      <c r="M93" s="1">
        <v>20.067907243848</v>
      </c>
      <c r="N93" s="1" t="s">
        <v>31</v>
      </c>
    </row>
    <row r="94" ht="15.75" customHeight="1">
      <c r="A94" s="1">
        <v>8.0</v>
      </c>
      <c r="B94" s="1">
        <v>293.0</v>
      </c>
      <c r="C94" s="1" t="s">
        <v>179</v>
      </c>
      <c r="D94" s="1" t="s">
        <v>77</v>
      </c>
      <c r="E94" s="1" t="s">
        <v>57</v>
      </c>
      <c r="F94" s="1" t="s">
        <v>542</v>
      </c>
      <c r="G94" s="1" t="s">
        <v>543</v>
      </c>
      <c r="H94" s="1">
        <v>39.0574999326213</v>
      </c>
      <c r="I94" s="1">
        <v>19.9318826509907</v>
      </c>
      <c r="J94" s="1">
        <v>113.970610380759</v>
      </c>
      <c r="K94" s="1">
        <v>19.9318826509907</v>
      </c>
      <c r="L94" s="1">
        <v>43.6549853330865</v>
      </c>
      <c r="M94" s="1">
        <v>39.7427379932103</v>
      </c>
      <c r="N94" s="1" t="s">
        <v>31</v>
      </c>
    </row>
    <row r="95" ht="15.75" customHeight="1">
      <c r="A95" s="1">
        <v>8.0</v>
      </c>
      <c r="B95" s="1">
        <v>570.0</v>
      </c>
      <c r="C95" s="1" t="s">
        <v>179</v>
      </c>
      <c r="D95" s="1" t="s">
        <v>77</v>
      </c>
      <c r="E95" s="1" t="s">
        <v>98</v>
      </c>
      <c r="F95" s="1" t="s">
        <v>546</v>
      </c>
      <c r="G95" s="1" t="s">
        <v>547</v>
      </c>
      <c r="H95" s="1">
        <v>12.3214467173201</v>
      </c>
      <c r="I95" s="1">
        <v>11.0164749444853</v>
      </c>
      <c r="J95" s="1">
        <v>18.8980698864063</v>
      </c>
      <c r="K95" s="1">
        <v>68.6639170431594</v>
      </c>
      <c r="L95" s="1">
        <v>21.6579843063176</v>
      </c>
      <c r="M95" s="1">
        <v>30.0810720663416</v>
      </c>
      <c r="N95" s="1" t="s">
        <v>31</v>
      </c>
    </row>
    <row r="96" ht="15.75" customHeight="1">
      <c r="A96" s="1">
        <v>8.0</v>
      </c>
      <c r="B96" s="1">
        <v>587.0</v>
      </c>
      <c r="C96" s="1" t="s">
        <v>89</v>
      </c>
      <c r="D96" s="1" t="s">
        <v>77</v>
      </c>
      <c r="E96" s="1" t="s">
        <v>98</v>
      </c>
      <c r="F96" s="1" t="s">
        <v>549</v>
      </c>
      <c r="G96" s="1" t="s">
        <v>550</v>
      </c>
      <c r="H96" s="1">
        <v>4.20289902762365</v>
      </c>
      <c r="I96" s="1">
        <v>1.86187578966</v>
      </c>
      <c r="J96" s="1">
        <v>87.0805968353644</v>
      </c>
      <c r="K96" s="1">
        <v>104.845510289231</v>
      </c>
      <c r="L96" s="1">
        <v>70.7463622553455</v>
      </c>
      <c r="M96" s="1">
        <v>9.16214628775564</v>
      </c>
      <c r="N96" s="1" t="s">
        <v>31</v>
      </c>
    </row>
    <row r="97" ht="15.75" customHeight="1">
      <c r="A97" s="1">
        <v>8.0</v>
      </c>
      <c r="B97" s="1">
        <v>588.0</v>
      </c>
      <c r="C97" s="1" t="s">
        <v>89</v>
      </c>
      <c r="D97" s="1" t="s">
        <v>77</v>
      </c>
      <c r="E97" s="1" t="s">
        <v>98</v>
      </c>
      <c r="F97" s="1" t="s">
        <v>555</v>
      </c>
      <c r="G97" s="1" t="s">
        <v>556</v>
      </c>
      <c r="H97" s="1">
        <v>16.5979867571227</v>
      </c>
      <c r="I97" s="1">
        <v>0.0</v>
      </c>
      <c r="J97" s="1">
        <v>87.0805968353644</v>
      </c>
      <c r="K97" s="1">
        <v>18.8980698864063</v>
      </c>
      <c r="L97" s="1">
        <v>11.3954037172989</v>
      </c>
      <c r="M97" s="1">
        <v>30.0241893478578</v>
      </c>
      <c r="N97" s="1" t="s">
        <v>31</v>
      </c>
    </row>
    <row r="98" ht="15.75" customHeight="1">
      <c r="A98" s="1">
        <v>8.0</v>
      </c>
      <c r="B98" s="1">
        <v>579.0</v>
      </c>
      <c r="C98" s="1" t="s">
        <v>74</v>
      </c>
      <c r="D98" s="1" t="s">
        <v>77</v>
      </c>
      <c r="E98" s="1" t="s">
        <v>98</v>
      </c>
      <c r="F98" s="1" t="s">
        <v>555</v>
      </c>
      <c r="G98" s="1" t="s">
        <v>556</v>
      </c>
      <c r="H98" s="1">
        <v>16.5979867571227</v>
      </c>
      <c r="I98" s="1">
        <v>6.05557940738866</v>
      </c>
      <c r="J98" s="1">
        <v>0.0</v>
      </c>
      <c r="K98" s="1">
        <v>18.8980698864063</v>
      </c>
      <c r="L98" s="1">
        <v>11.3954037172989</v>
      </c>
      <c r="M98" s="1">
        <v>30.0241893478578</v>
      </c>
      <c r="N98" s="1" t="s">
        <v>31</v>
      </c>
    </row>
    <row r="99" ht="15.75" customHeight="1">
      <c r="A99" s="1">
        <v>8.0</v>
      </c>
      <c r="B99" s="1">
        <v>580.0</v>
      </c>
      <c r="C99" s="1" t="s">
        <v>74</v>
      </c>
      <c r="D99" s="1" t="s">
        <v>77</v>
      </c>
      <c r="E99" s="1" t="s">
        <v>98</v>
      </c>
      <c r="F99" s="1" t="s">
        <v>558</v>
      </c>
      <c r="G99" s="1" t="s">
        <v>560</v>
      </c>
      <c r="H99" s="1">
        <v>12.5799473188339</v>
      </c>
      <c r="I99" s="1">
        <v>6.05557940738866</v>
      </c>
      <c r="J99" s="1">
        <v>6.05557940738866</v>
      </c>
      <c r="K99" s="1">
        <v>23.1129966178976</v>
      </c>
      <c r="L99" s="1">
        <v>8.80412080988495</v>
      </c>
      <c r="M99" s="1">
        <v>26.9669842439945</v>
      </c>
      <c r="N99" s="1" t="s">
        <v>31</v>
      </c>
    </row>
    <row r="100" ht="15.75" customHeight="1">
      <c r="A100" s="1">
        <v>8.0</v>
      </c>
      <c r="B100" s="1">
        <v>581.0</v>
      </c>
      <c r="C100" s="1" t="s">
        <v>74</v>
      </c>
      <c r="D100" s="1" t="s">
        <v>77</v>
      </c>
      <c r="E100" s="1" t="s">
        <v>98</v>
      </c>
      <c r="F100" s="1" t="s">
        <v>562</v>
      </c>
      <c r="G100" s="1" t="s">
        <v>563</v>
      </c>
      <c r="H100" s="1">
        <v>5.25241144560277</v>
      </c>
      <c r="I100" s="1">
        <v>86.0722071351865</v>
      </c>
      <c r="J100" s="1">
        <v>1.86187578966</v>
      </c>
      <c r="K100" s="1">
        <v>105.531219318197</v>
      </c>
      <c r="L100" s="1">
        <v>69.4340824255603</v>
      </c>
      <c r="M100" s="1">
        <v>7.9426374318973</v>
      </c>
      <c r="N100" s="1" t="s">
        <v>31</v>
      </c>
    </row>
    <row r="101" ht="15.75" customHeight="1">
      <c r="A101" s="1">
        <v>8.0</v>
      </c>
      <c r="B101" s="1">
        <v>582.0</v>
      </c>
      <c r="C101" s="1" t="s">
        <v>74</v>
      </c>
      <c r="D101" s="1" t="s">
        <v>77</v>
      </c>
      <c r="E101" s="1" t="s">
        <v>98</v>
      </c>
      <c r="F101" s="1" t="s">
        <v>565</v>
      </c>
      <c r="G101" s="1" t="s">
        <v>566</v>
      </c>
      <c r="H101" s="1">
        <v>5.89529645981655</v>
      </c>
      <c r="I101" s="1">
        <v>20.5871382598604</v>
      </c>
      <c r="J101" s="1">
        <v>48.9989265392941</v>
      </c>
      <c r="K101" s="1">
        <v>46.0152346346871</v>
      </c>
      <c r="L101" s="1">
        <v>10.4531306917271</v>
      </c>
      <c r="M101" s="1">
        <v>38.4056729734226</v>
      </c>
      <c r="N101" s="1" t="s">
        <v>31</v>
      </c>
    </row>
    <row r="102" ht="15.75" customHeight="1">
      <c r="A102" s="1">
        <v>8.0</v>
      </c>
      <c r="B102" s="1">
        <v>583.0</v>
      </c>
      <c r="C102" s="1" t="s">
        <v>74</v>
      </c>
      <c r="D102" s="1" t="s">
        <v>77</v>
      </c>
      <c r="E102" s="1" t="s">
        <v>98</v>
      </c>
      <c r="F102" s="1" t="s">
        <v>570</v>
      </c>
      <c r="G102" s="1" t="s">
        <v>571</v>
      </c>
      <c r="H102" s="1">
        <v>1.52902767821461</v>
      </c>
      <c r="I102" s="1">
        <v>10.6820432529162</v>
      </c>
      <c r="J102" s="1">
        <v>31.3523402665989</v>
      </c>
      <c r="K102" s="1">
        <v>25.4396504425493</v>
      </c>
      <c r="L102" s="1">
        <v>6.46919951060048</v>
      </c>
      <c r="M102" s="1">
        <v>54.9108711197171</v>
      </c>
      <c r="N102" s="1" t="s">
        <v>31</v>
      </c>
    </row>
    <row r="103" ht="15.75" customHeight="1">
      <c r="A103" s="1">
        <v>8.0</v>
      </c>
      <c r="B103" s="1">
        <v>584.0</v>
      </c>
      <c r="C103" s="1" t="s">
        <v>74</v>
      </c>
      <c r="D103" s="1" t="s">
        <v>77</v>
      </c>
      <c r="E103" s="1" t="s">
        <v>98</v>
      </c>
      <c r="F103" s="1" t="s">
        <v>574</v>
      </c>
      <c r="G103" s="1" t="s">
        <v>575</v>
      </c>
      <c r="H103" s="1">
        <v>1.3428705194363</v>
      </c>
      <c r="I103" s="1">
        <v>6.77221093211001</v>
      </c>
      <c r="J103" s="1">
        <v>18.8480398288146</v>
      </c>
      <c r="K103" s="1">
        <v>11.0164749444853</v>
      </c>
      <c r="L103" s="1">
        <v>19.1842093158834</v>
      </c>
      <c r="M103" s="1">
        <v>39.75893413385</v>
      </c>
      <c r="N103" s="1" t="s">
        <v>31</v>
      </c>
    </row>
    <row r="104" ht="15.75" customHeight="1">
      <c r="A104" s="1">
        <v>8.0</v>
      </c>
      <c r="B104" s="1">
        <v>585.0</v>
      </c>
      <c r="C104" s="1" t="s">
        <v>74</v>
      </c>
      <c r="D104" s="1" t="s">
        <v>77</v>
      </c>
      <c r="E104" s="1" t="s">
        <v>98</v>
      </c>
      <c r="F104" s="1" t="s">
        <v>580</v>
      </c>
      <c r="G104" s="1" t="s">
        <v>581</v>
      </c>
      <c r="H104" s="1">
        <v>3.27443246926796</v>
      </c>
      <c r="I104" s="1">
        <v>9.10955523530595</v>
      </c>
      <c r="J104" s="1">
        <v>59.2460582456981</v>
      </c>
      <c r="K104" s="1">
        <v>33.4303932147796</v>
      </c>
      <c r="L104" s="1">
        <v>0.109053333221483</v>
      </c>
      <c r="M104" s="1">
        <v>21.5342441111875</v>
      </c>
      <c r="N104" s="1" t="s">
        <v>31</v>
      </c>
    </row>
    <row r="105" ht="15.75" customHeight="1">
      <c r="A105" s="1">
        <v>8.0</v>
      </c>
      <c r="B105" s="1">
        <v>586.0</v>
      </c>
      <c r="C105" s="1" t="s">
        <v>74</v>
      </c>
      <c r="D105" s="1" t="s">
        <v>77</v>
      </c>
      <c r="E105" s="1" t="s">
        <v>98</v>
      </c>
      <c r="F105" s="1" t="s">
        <v>584</v>
      </c>
      <c r="G105" s="1" t="s">
        <v>585</v>
      </c>
      <c r="H105" s="1">
        <v>7.35429939719229</v>
      </c>
      <c r="I105" s="1">
        <v>7.35429939719229</v>
      </c>
      <c r="J105" s="1">
        <v>71.2453379472223</v>
      </c>
      <c r="K105" s="1">
        <v>10.6960388706416</v>
      </c>
      <c r="L105" s="1">
        <v>11.9677428670379</v>
      </c>
      <c r="M105" s="1">
        <v>4.45158851886936</v>
      </c>
      <c r="N105" s="1" t="s">
        <v>31</v>
      </c>
    </row>
    <row r="106" ht="15.75" customHeight="1">
      <c r="A106" s="1">
        <v>8.0</v>
      </c>
      <c r="B106" s="1">
        <v>571.0</v>
      </c>
      <c r="C106" s="1" t="s">
        <v>55</v>
      </c>
      <c r="D106" s="1" t="s">
        <v>77</v>
      </c>
      <c r="E106" s="1" t="s">
        <v>98</v>
      </c>
      <c r="F106" s="1" t="s">
        <v>587</v>
      </c>
      <c r="G106" s="1" t="s">
        <v>589</v>
      </c>
      <c r="H106" s="1">
        <v>18.0752560433121</v>
      </c>
      <c r="I106" s="1">
        <v>24.0134204766661</v>
      </c>
      <c r="J106" s="1">
        <v>29.9867297424177</v>
      </c>
      <c r="K106" s="1">
        <v>42.5734173925775</v>
      </c>
      <c r="L106" s="1">
        <v>4.09725532884256</v>
      </c>
      <c r="M106" s="1">
        <v>7.84657083802204</v>
      </c>
      <c r="N106" s="1" t="s">
        <v>31</v>
      </c>
    </row>
    <row r="107" ht="15.75" customHeight="1">
      <c r="A107" s="1">
        <v>8.0</v>
      </c>
      <c r="B107" s="1">
        <v>572.0</v>
      </c>
      <c r="C107" s="1" t="s">
        <v>55</v>
      </c>
      <c r="D107" s="1" t="s">
        <v>77</v>
      </c>
      <c r="E107" s="1" t="s">
        <v>98</v>
      </c>
      <c r="F107" s="1" t="s">
        <v>592</v>
      </c>
      <c r="G107" s="1" t="s">
        <v>593</v>
      </c>
      <c r="H107" s="1">
        <v>18.0752560433121</v>
      </c>
      <c r="I107" s="1">
        <v>12.5799473188339</v>
      </c>
      <c r="J107" s="1">
        <v>16.5979867571227</v>
      </c>
      <c r="K107" s="1">
        <v>24.6692645093225</v>
      </c>
      <c r="L107" s="1">
        <v>15.6076322886423</v>
      </c>
      <c r="M107" s="1">
        <v>14.4169208235873</v>
      </c>
      <c r="N107" s="1" t="s">
        <v>31</v>
      </c>
    </row>
    <row r="108" ht="15.75" customHeight="1">
      <c r="A108" s="1">
        <v>8.0</v>
      </c>
      <c r="B108" s="1">
        <v>573.0</v>
      </c>
      <c r="C108" s="1" t="s">
        <v>55</v>
      </c>
      <c r="D108" s="1" t="s">
        <v>77</v>
      </c>
      <c r="E108" s="1" t="s">
        <v>98</v>
      </c>
      <c r="F108" s="1" t="s">
        <v>596</v>
      </c>
      <c r="G108" s="1" t="s">
        <v>597</v>
      </c>
      <c r="H108" s="1">
        <v>71.8382964648125</v>
      </c>
      <c r="I108" s="1">
        <v>5.25241144560277</v>
      </c>
      <c r="J108" s="1">
        <v>4.20289902762365</v>
      </c>
      <c r="K108" s="1">
        <v>107.832830093177</v>
      </c>
      <c r="L108" s="1">
        <v>74.6856465282548</v>
      </c>
      <c r="M108" s="1">
        <v>10.0932370521594</v>
      </c>
      <c r="N108" s="1" t="s">
        <v>31</v>
      </c>
    </row>
    <row r="109" ht="15.75" customHeight="1">
      <c r="A109" s="1">
        <v>8.0</v>
      </c>
      <c r="B109" s="1">
        <v>574.0</v>
      </c>
      <c r="C109" s="1" t="s">
        <v>55</v>
      </c>
      <c r="D109" s="1" t="s">
        <v>77</v>
      </c>
      <c r="E109" s="1" t="s">
        <v>98</v>
      </c>
      <c r="F109" s="1" t="s">
        <v>601</v>
      </c>
      <c r="G109" s="1" t="s">
        <v>602</v>
      </c>
      <c r="H109" s="1">
        <v>27.4756136157822</v>
      </c>
      <c r="I109" s="1">
        <v>28.6587899287192</v>
      </c>
      <c r="J109" s="1">
        <v>48.9370499863456</v>
      </c>
      <c r="K109" s="1">
        <v>56.5061420709988</v>
      </c>
      <c r="L109" s="1">
        <v>13.1663236264181</v>
      </c>
      <c r="M109" s="1">
        <v>35.5555145490116</v>
      </c>
      <c r="N109" s="1" t="s">
        <v>31</v>
      </c>
    </row>
    <row r="110" ht="15.75" customHeight="1">
      <c r="A110" s="1">
        <v>8.0</v>
      </c>
      <c r="B110" s="1">
        <v>575.0</v>
      </c>
      <c r="C110" s="1" t="s">
        <v>55</v>
      </c>
      <c r="D110" s="1" t="s">
        <v>77</v>
      </c>
      <c r="E110" s="1" t="s">
        <v>98</v>
      </c>
      <c r="F110" s="1" t="s">
        <v>605</v>
      </c>
      <c r="G110" s="1" t="s">
        <v>607</v>
      </c>
      <c r="H110" s="1">
        <v>16.6189247394924</v>
      </c>
      <c r="I110" s="1">
        <v>5.89529645981655</v>
      </c>
      <c r="J110" s="1">
        <v>43.1037150295897</v>
      </c>
      <c r="K110" s="1">
        <v>40.6517677438733</v>
      </c>
      <c r="L110" s="1">
        <v>4.65349286154682</v>
      </c>
      <c r="M110" s="1">
        <v>44.2980138269802</v>
      </c>
      <c r="N110" s="1" t="s">
        <v>31</v>
      </c>
    </row>
    <row r="111" ht="15.75" customHeight="1">
      <c r="A111" s="1">
        <v>8.0</v>
      </c>
      <c r="B111" s="1">
        <v>576.0</v>
      </c>
      <c r="C111" s="1" t="s">
        <v>55</v>
      </c>
      <c r="D111" s="1" t="s">
        <v>77</v>
      </c>
      <c r="E111" s="1" t="s">
        <v>98</v>
      </c>
      <c r="F111" s="1" t="s">
        <v>610</v>
      </c>
      <c r="G111" s="1" t="s">
        <v>611</v>
      </c>
      <c r="H111" s="1">
        <v>9.16532492838084</v>
      </c>
      <c r="I111" s="1">
        <v>1.52902767821461</v>
      </c>
      <c r="J111" s="1">
        <v>29.844010485821</v>
      </c>
      <c r="K111" s="1">
        <v>24.0983302097427</v>
      </c>
      <c r="L111" s="1">
        <v>7.99395795625267</v>
      </c>
      <c r="M111" s="1">
        <v>53.4482740053534</v>
      </c>
      <c r="N111" s="1" t="s">
        <v>31</v>
      </c>
    </row>
    <row r="112" ht="15.75" customHeight="1">
      <c r="A112" s="1">
        <v>8.0</v>
      </c>
      <c r="B112" s="1">
        <v>577.0</v>
      </c>
      <c r="C112" s="1" t="s">
        <v>55</v>
      </c>
      <c r="D112" s="1" t="s">
        <v>77</v>
      </c>
      <c r="E112" s="1" t="s">
        <v>98</v>
      </c>
      <c r="F112" s="1" t="s">
        <v>612</v>
      </c>
      <c r="G112" s="1" t="s">
        <v>614</v>
      </c>
      <c r="H112" s="1">
        <v>5.58582581283457</v>
      </c>
      <c r="I112" s="1">
        <v>1.3428705194363</v>
      </c>
      <c r="J112" s="1">
        <v>19.5767417318342</v>
      </c>
      <c r="K112" s="1">
        <v>12.3214467173201</v>
      </c>
      <c r="L112" s="1">
        <v>18.5657655600807</v>
      </c>
      <c r="M112" s="1">
        <v>41.0710642462207</v>
      </c>
      <c r="N112" s="1" t="s">
        <v>31</v>
      </c>
    </row>
    <row r="113" ht="15.75" customHeight="1">
      <c r="A113" s="1">
        <v>8.0</v>
      </c>
      <c r="B113" s="1">
        <v>578.0</v>
      </c>
      <c r="C113" s="1" t="s">
        <v>55</v>
      </c>
      <c r="D113" s="1" t="s">
        <v>77</v>
      </c>
      <c r="E113" s="1" t="s">
        <v>98</v>
      </c>
      <c r="F113" s="1" t="s">
        <v>616</v>
      </c>
      <c r="G113" s="1" t="s">
        <v>617</v>
      </c>
      <c r="H113" s="1">
        <v>7.12528512680474</v>
      </c>
      <c r="I113" s="1">
        <v>3.27443246926796</v>
      </c>
      <c r="J113" s="1">
        <v>62.2069560670886</v>
      </c>
      <c r="K113" s="1">
        <v>30.7643431807488</v>
      </c>
      <c r="L113" s="1">
        <v>1.04861813390949</v>
      </c>
      <c r="M113" s="1">
        <v>21.4231846163647</v>
      </c>
      <c r="N113" s="1" t="s">
        <v>31</v>
      </c>
    </row>
    <row r="114" ht="15.75" customHeight="1">
      <c r="A114" s="1">
        <v>9.0</v>
      </c>
      <c r="B114" s="1">
        <v>261.0</v>
      </c>
      <c r="C114" s="1" t="s">
        <v>55</v>
      </c>
      <c r="D114" s="1" t="s">
        <v>619</v>
      </c>
      <c r="E114" s="1" t="s">
        <v>57</v>
      </c>
      <c r="F114" s="1" t="s">
        <v>620</v>
      </c>
      <c r="G114" s="1" t="s">
        <v>621</v>
      </c>
      <c r="H114" s="1">
        <v>9.69210838764885</v>
      </c>
      <c r="I114" s="1">
        <v>15.1675039806164</v>
      </c>
      <c r="J114" s="1" t="s">
        <v>33</v>
      </c>
      <c r="K114" s="1">
        <v>77.7732675471199</v>
      </c>
      <c r="L114" s="1">
        <v>63.0687810291208</v>
      </c>
      <c r="M114" s="1">
        <v>41.1984125088365</v>
      </c>
      <c r="N114" s="1" t="s">
        <v>31</v>
      </c>
    </row>
    <row r="115" ht="15.75" customHeight="1">
      <c r="A115" s="1">
        <v>9.0</v>
      </c>
      <c r="B115" s="1">
        <v>262.0</v>
      </c>
      <c r="C115" s="1" t="s">
        <v>55</v>
      </c>
      <c r="D115" s="1" t="s">
        <v>619</v>
      </c>
      <c r="E115" s="1" t="s">
        <v>57</v>
      </c>
      <c r="F115" s="1" t="s">
        <v>624</v>
      </c>
      <c r="G115" s="1" t="s">
        <v>625</v>
      </c>
      <c r="H115" s="1">
        <v>4.94205220529037</v>
      </c>
      <c r="I115" s="1">
        <v>11.1172748911274</v>
      </c>
      <c r="J115" s="1" t="s">
        <v>33</v>
      </c>
      <c r="K115" s="1">
        <v>57.5622651827878</v>
      </c>
      <c r="L115" s="1">
        <v>43.4896660101545</v>
      </c>
      <c r="M115" s="1">
        <v>20.9721074214419</v>
      </c>
      <c r="N115" s="1" t="s">
        <v>31</v>
      </c>
    </row>
    <row r="116" ht="15.75" customHeight="1">
      <c r="A116" s="1">
        <v>9.0</v>
      </c>
      <c r="B116" s="1">
        <v>263.0</v>
      </c>
      <c r="C116" s="1" t="s">
        <v>55</v>
      </c>
      <c r="D116" s="1" t="s">
        <v>619</v>
      </c>
      <c r="E116" s="1" t="s">
        <v>98</v>
      </c>
      <c r="F116" s="1" t="s">
        <v>627</v>
      </c>
      <c r="G116" s="1" t="s">
        <v>628</v>
      </c>
      <c r="H116" s="1">
        <v>4.94205220529037</v>
      </c>
      <c r="I116" s="1">
        <v>10.1484350025003</v>
      </c>
      <c r="J116" s="1" t="s">
        <v>33</v>
      </c>
      <c r="K116" s="1">
        <v>55.5309625432633</v>
      </c>
      <c r="L116" s="1">
        <v>43.2667552634242</v>
      </c>
      <c r="M116" s="1">
        <v>19.6994793666781</v>
      </c>
      <c r="N116" s="1" t="s">
        <v>31</v>
      </c>
    </row>
    <row r="117" ht="15.75" customHeight="1">
      <c r="A117" s="1">
        <v>9.0</v>
      </c>
      <c r="B117" s="1">
        <v>264.0</v>
      </c>
      <c r="C117" s="1" t="s">
        <v>55</v>
      </c>
      <c r="D117" s="1" t="s">
        <v>619</v>
      </c>
      <c r="E117" s="1" t="s">
        <v>98</v>
      </c>
      <c r="F117" s="1" t="s">
        <v>631</v>
      </c>
      <c r="G117" s="1" t="s">
        <v>632</v>
      </c>
      <c r="H117" s="1">
        <v>7.3796917279912</v>
      </c>
      <c r="I117" s="1">
        <v>0.0</v>
      </c>
      <c r="J117" s="1" t="s">
        <v>33</v>
      </c>
      <c r="K117" s="1">
        <v>65.1710670310312</v>
      </c>
      <c r="L117" s="1">
        <v>53.4049198972398</v>
      </c>
      <c r="M117" s="1">
        <v>29.8125627725125</v>
      </c>
      <c r="N117" s="1" t="s">
        <v>31</v>
      </c>
    </row>
    <row r="118" ht="15.75" customHeight="1">
      <c r="A118" s="1">
        <v>9.0</v>
      </c>
      <c r="B118" s="1">
        <v>265.0</v>
      </c>
      <c r="C118" s="1" t="s">
        <v>74</v>
      </c>
      <c r="D118" s="1" t="s">
        <v>619</v>
      </c>
      <c r="E118" s="1" t="s">
        <v>98</v>
      </c>
      <c r="F118" s="1" t="s">
        <v>631</v>
      </c>
      <c r="G118" s="1" t="s">
        <v>632</v>
      </c>
      <c r="H118" s="1">
        <v>0.0</v>
      </c>
      <c r="I118" s="1">
        <v>69.1774098671036</v>
      </c>
      <c r="J118" s="1" t="s">
        <v>33</v>
      </c>
      <c r="K118" s="1">
        <v>65.1710670310312</v>
      </c>
      <c r="L118" s="1">
        <v>53.4049198972398</v>
      </c>
      <c r="M118" s="1">
        <v>29.8125627725125</v>
      </c>
      <c r="N118" s="1" t="s">
        <v>31</v>
      </c>
    </row>
    <row r="119" ht="15.75" customHeight="1">
      <c r="A119" s="1">
        <v>9.0</v>
      </c>
      <c r="B119" s="1">
        <v>266.0</v>
      </c>
      <c r="C119" s="1" t="s">
        <v>55</v>
      </c>
      <c r="D119" s="1" t="s">
        <v>619</v>
      </c>
      <c r="E119" s="1" t="s">
        <v>98</v>
      </c>
      <c r="F119" s="1" t="s">
        <v>631</v>
      </c>
      <c r="G119" s="1" t="s">
        <v>632</v>
      </c>
      <c r="H119" s="1">
        <v>7.3796917279912</v>
      </c>
      <c r="I119" s="1">
        <v>0.0</v>
      </c>
      <c r="J119" s="1" t="s">
        <v>33</v>
      </c>
      <c r="K119" s="1">
        <v>65.1710670310312</v>
      </c>
      <c r="L119" s="1">
        <v>53.4049198972398</v>
      </c>
      <c r="M119" s="1">
        <v>29.8125627725125</v>
      </c>
      <c r="N119" s="1" t="s">
        <v>31</v>
      </c>
    </row>
    <row r="120" ht="15.75" customHeight="1">
      <c r="A120" s="1">
        <v>9.0</v>
      </c>
      <c r="B120" s="1">
        <v>267.0</v>
      </c>
      <c r="C120" s="1" t="s">
        <v>55</v>
      </c>
      <c r="D120" s="1" t="s">
        <v>619</v>
      </c>
      <c r="E120" s="1" t="s">
        <v>98</v>
      </c>
      <c r="F120" s="1" t="s">
        <v>637</v>
      </c>
      <c r="G120" s="1" t="s">
        <v>638</v>
      </c>
      <c r="H120" s="1">
        <v>5.30424594075801</v>
      </c>
      <c r="I120" s="1">
        <v>7.3796917279912</v>
      </c>
      <c r="J120" s="1" t="s">
        <v>33</v>
      </c>
      <c r="K120" s="1">
        <v>72.517808295325</v>
      </c>
      <c r="L120" s="1">
        <v>60.1838949579783</v>
      </c>
      <c r="M120" s="1">
        <v>36.8823498024956</v>
      </c>
      <c r="N120" s="1" t="s">
        <v>31</v>
      </c>
    </row>
    <row r="121" ht="15.75" customHeight="1">
      <c r="A121" s="1">
        <v>9.0</v>
      </c>
      <c r="B121" s="1">
        <v>268.0</v>
      </c>
      <c r="C121" s="1" t="s">
        <v>55</v>
      </c>
      <c r="D121" s="1" t="s">
        <v>619</v>
      </c>
      <c r="E121" s="1" t="s">
        <v>57</v>
      </c>
      <c r="F121" s="1" t="s">
        <v>643</v>
      </c>
      <c r="G121" s="1" t="s">
        <v>644</v>
      </c>
      <c r="H121" s="1">
        <v>5.30424594075801</v>
      </c>
      <c r="I121" s="1">
        <v>10.9718660674215</v>
      </c>
      <c r="J121" s="1" t="s">
        <v>33</v>
      </c>
      <c r="K121" s="1">
        <v>75.6114282697141</v>
      </c>
      <c r="L121" s="1">
        <v>64.3766968616577</v>
      </c>
      <c r="M121" s="1">
        <v>40.7303048392776</v>
      </c>
      <c r="N121" s="1" t="s">
        <v>31</v>
      </c>
    </row>
    <row r="122" ht="15.75" customHeight="1">
      <c r="A122" s="1">
        <v>9.0</v>
      </c>
      <c r="B122" s="1">
        <v>269.0</v>
      </c>
      <c r="C122" s="1" t="s">
        <v>55</v>
      </c>
      <c r="D122" s="1" t="s">
        <v>619</v>
      </c>
      <c r="E122" s="1" t="s">
        <v>98</v>
      </c>
      <c r="F122" s="1" t="s">
        <v>637</v>
      </c>
      <c r="G122" s="1" t="s">
        <v>638</v>
      </c>
      <c r="H122" s="1">
        <v>5.30424594075801</v>
      </c>
      <c r="I122" s="1">
        <v>7.3796917279912</v>
      </c>
      <c r="J122" s="1" t="s">
        <v>33</v>
      </c>
      <c r="K122" s="1">
        <v>72.517808295325</v>
      </c>
      <c r="L122" s="1">
        <v>60.1838949579783</v>
      </c>
      <c r="M122" s="1">
        <v>36.8823498024956</v>
      </c>
      <c r="N122" s="1" t="s">
        <v>31</v>
      </c>
    </row>
    <row r="123" ht="15.75" customHeight="1">
      <c r="A123" s="1">
        <v>9.0</v>
      </c>
      <c r="B123" s="1">
        <v>270.0</v>
      </c>
      <c r="C123" s="1" t="s">
        <v>55</v>
      </c>
      <c r="D123" s="1" t="s">
        <v>619</v>
      </c>
      <c r="E123" s="1" t="s">
        <v>98</v>
      </c>
      <c r="F123" s="1" t="s">
        <v>656</v>
      </c>
      <c r="G123" s="1" t="s">
        <v>657</v>
      </c>
      <c r="H123" s="1">
        <v>10.9399051643355</v>
      </c>
      <c r="I123" s="1">
        <v>0.0</v>
      </c>
      <c r="J123" s="1" t="s">
        <v>33</v>
      </c>
      <c r="K123" s="1">
        <v>15.9072416840447</v>
      </c>
      <c r="L123" s="1">
        <v>37.2617596759956</v>
      </c>
      <c r="M123" s="1">
        <v>33.001672315121</v>
      </c>
      <c r="N123" s="1" t="s">
        <v>31</v>
      </c>
    </row>
    <row r="124" ht="15.75" customHeight="1">
      <c r="A124" s="1">
        <v>9.0</v>
      </c>
      <c r="B124" s="1">
        <v>271.0</v>
      </c>
      <c r="C124" s="1" t="s">
        <v>74</v>
      </c>
      <c r="D124" s="1" t="s">
        <v>619</v>
      </c>
      <c r="E124" s="1" t="s">
        <v>57</v>
      </c>
      <c r="F124" s="1" t="s">
        <v>656</v>
      </c>
      <c r="G124" s="1" t="s">
        <v>657</v>
      </c>
      <c r="H124" s="1">
        <v>0.0</v>
      </c>
      <c r="I124" s="1">
        <v>69.1774098671036</v>
      </c>
      <c r="J124" s="1" t="s">
        <v>33</v>
      </c>
      <c r="K124" s="1">
        <v>15.9072416840447</v>
      </c>
      <c r="L124" s="1">
        <v>37.2617596759956</v>
      </c>
      <c r="M124" s="1">
        <v>33.001672315121</v>
      </c>
      <c r="N124" s="1" t="s">
        <v>31</v>
      </c>
    </row>
    <row r="125" ht="15.75" customHeight="1">
      <c r="A125" s="1">
        <v>9.0</v>
      </c>
      <c r="B125" s="1">
        <v>272.0</v>
      </c>
      <c r="C125" s="1" t="s">
        <v>55</v>
      </c>
      <c r="D125" s="1" t="s">
        <v>619</v>
      </c>
      <c r="E125" s="1" t="s">
        <v>57</v>
      </c>
      <c r="F125" s="1" t="s">
        <v>661</v>
      </c>
      <c r="G125" s="1" t="s">
        <v>662</v>
      </c>
      <c r="H125" s="1">
        <v>10.9399051643355</v>
      </c>
      <c r="I125" s="1">
        <v>10.9399051643355</v>
      </c>
      <c r="J125" s="1" t="s">
        <v>33</v>
      </c>
      <c r="K125" s="1">
        <v>19.7469514866763</v>
      </c>
      <c r="L125" s="1">
        <v>39.8679308810681</v>
      </c>
      <c r="M125" s="1">
        <v>43.8983018263144</v>
      </c>
      <c r="N125" s="1" t="s">
        <v>31</v>
      </c>
    </row>
    <row r="126" ht="15.75" customHeight="1">
      <c r="A126" s="1">
        <v>9.0</v>
      </c>
      <c r="B126" s="1">
        <v>273.0</v>
      </c>
      <c r="C126" s="1" t="s">
        <v>179</v>
      </c>
      <c r="D126" s="1" t="s">
        <v>619</v>
      </c>
      <c r="E126" s="1" t="s">
        <v>78</v>
      </c>
      <c r="F126" s="1" t="s">
        <v>666</v>
      </c>
      <c r="G126" s="1" t="s">
        <v>667</v>
      </c>
      <c r="H126" s="1">
        <v>15.9072416840447</v>
      </c>
      <c r="I126" s="1">
        <v>15.9072416840447</v>
      </c>
      <c r="J126" s="1" t="s">
        <v>33</v>
      </c>
      <c r="K126" s="1" t="s">
        <v>33</v>
      </c>
      <c r="L126" s="1">
        <v>22.8234033240575</v>
      </c>
      <c r="M126" s="1">
        <v>33.3884863514374</v>
      </c>
      <c r="N126" s="1" t="s">
        <v>31</v>
      </c>
    </row>
    <row r="127" ht="15.75" customHeight="1">
      <c r="A127" s="1">
        <v>9.0</v>
      </c>
      <c r="B127" s="1">
        <v>274.0</v>
      </c>
      <c r="C127" s="1" t="s">
        <v>55</v>
      </c>
      <c r="D127" s="1" t="s">
        <v>619</v>
      </c>
      <c r="E127" s="1" t="s">
        <v>98</v>
      </c>
      <c r="F127" s="1" t="s">
        <v>668</v>
      </c>
      <c r="G127" s="1" t="s">
        <v>670</v>
      </c>
      <c r="H127" s="1">
        <v>16.44812433084</v>
      </c>
      <c r="I127" s="1">
        <v>39.2552407959536</v>
      </c>
      <c r="J127" s="1" t="s">
        <v>33</v>
      </c>
      <c r="K127" s="1">
        <v>23.5873243920757</v>
      </c>
      <c r="L127" s="1">
        <v>0.194771753024194</v>
      </c>
      <c r="M127" s="1">
        <v>21.2293540733684</v>
      </c>
      <c r="N127" s="1" t="s">
        <v>31</v>
      </c>
    </row>
    <row r="128" ht="15.75" customHeight="1">
      <c r="A128" s="1">
        <v>9.0</v>
      </c>
      <c r="B128" s="1">
        <v>275.0</v>
      </c>
      <c r="C128" s="1" t="s">
        <v>55</v>
      </c>
      <c r="D128" s="1" t="s">
        <v>619</v>
      </c>
      <c r="E128" s="1" t="s">
        <v>98</v>
      </c>
      <c r="F128" s="1" t="s">
        <v>673</v>
      </c>
      <c r="G128" s="1" t="s">
        <v>674</v>
      </c>
      <c r="H128" s="1">
        <v>16.44812433084</v>
      </c>
      <c r="I128" s="1">
        <v>42.0255210077354</v>
      </c>
      <c r="J128" s="1" t="s">
        <v>33</v>
      </c>
      <c r="K128" s="1">
        <v>29.4912727767441</v>
      </c>
      <c r="L128" s="1">
        <v>4.90056793962336</v>
      </c>
      <c r="M128" s="1">
        <v>37.3370493650246</v>
      </c>
      <c r="N128" s="1" t="s">
        <v>31</v>
      </c>
    </row>
    <row r="129" ht="15.75" customHeight="1">
      <c r="A129" s="1">
        <v>9.0</v>
      </c>
      <c r="B129" s="1">
        <v>276.0</v>
      </c>
      <c r="C129" s="1" t="s">
        <v>55</v>
      </c>
      <c r="D129" s="1" t="s">
        <v>619</v>
      </c>
      <c r="E129" s="1" t="s">
        <v>57</v>
      </c>
      <c r="F129" s="1" t="s">
        <v>678</v>
      </c>
      <c r="G129" s="1" t="s">
        <v>679</v>
      </c>
      <c r="H129" s="1">
        <v>20.4770256628867</v>
      </c>
      <c r="I129" s="1">
        <v>61.4731006208456</v>
      </c>
      <c r="J129" s="1" t="s">
        <v>33</v>
      </c>
      <c r="K129" s="1">
        <v>47.3100775941862</v>
      </c>
      <c r="L129" s="1">
        <v>15.1223270506033</v>
      </c>
      <c r="M129" s="1">
        <v>38.2264547992763</v>
      </c>
      <c r="N129" s="1" t="s">
        <v>31</v>
      </c>
    </row>
    <row r="130" ht="15.75" customHeight="1">
      <c r="A130" s="1">
        <v>10.0</v>
      </c>
      <c r="B130" s="1">
        <v>250.0</v>
      </c>
      <c r="C130" s="1" t="s">
        <v>55</v>
      </c>
      <c r="D130" s="1" t="s">
        <v>88</v>
      </c>
      <c r="E130" s="1" t="s">
        <v>57</v>
      </c>
      <c r="F130" s="1" t="s">
        <v>681</v>
      </c>
      <c r="G130" s="1" t="s">
        <v>683</v>
      </c>
      <c r="H130" s="1">
        <v>0.278600072051646</v>
      </c>
      <c r="I130" s="1">
        <v>34.493010842703</v>
      </c>
      <c r="J130" s="1" t="s">
        <v>33</v>
      </c>
      <c r="K130" s="1" t="s">
        <v>33</v>
      </c>
      <c r="L130" s="1">
        <v>5.89079845996176</v>
      </c>
      <c r="M130" s="1">
        <v>39.7294513789092</v>
      </c>
      <c r="N130" s="1" t="s">
        <v>31</v>
      </c>
    </row>
    <row r="131" ht="15.75" customHeight="1">
      <c r="A131" s="1">
        <v>10.0</v>
      </c>
      <c r="B131" s="1">
        <v>251.0</v>
      </c>
      <c r="C131" s="1" t="s">
        <v>55</v>
      </c>
      <c r="D131" s="1" t="s">
        <v>88</v>
      </c>
      <c r="E131" s="1" t="s">
        <v>57</v>
      </c>
      <c r="F131" s="1" t="s">
        <v>686</v>
      </c>
      <c r="G131" s="1" t="s">
        <v>687</v>
      </c>
      <c r="H131" s="1">
        <v>0.278600072051646</v>
      </c>
      <c r="I131" s="1">
        <v>34.4475001269187</v>
      </c>
      <c r="J131" s="1" t="s">
        <v>33</v>
      </c>
      <c r="K131" s="1" t="s">
        <v>33</v>
      </c>
      <c r="L131" s="1">
        <v>5.623298426682</v>
      </c>
      <c r="M131" s="1">
        <v>39.6370625590607</v>
      </c>
      <c r="N131" s="1" t="s">
        <v>31</v>
      </c>
    </row>
    <row r="132" ht="15.75" customHeight="1">
      <c r="A132" s="1">
        <v>10.0</v>
      </c>
      <c r="B132" s="1">
        <v>252.0</v>
      </c>
      <c r="C132" s="1" t="s">
        <v>55</v>
      </c>
      <c r="D132" s="1" t="s">
        <v>88</v>
      </c>
      <c r="E132" s="1" t="s">
        <v>98</v>
      </c>
      <c r="F132" s="1" t="s">
        <v>691</v>
      </c>
      <c r="G132" s="1" t="s">
        <v>692</v>
      </c>
      <c r="H132" s="1">
        <v>4.36832427778777</v>
      </c>
      <c r="I132" s="1">
        <v>31.2095183238206</v>
      </c>
      <c r="J132" s="1" t="s">
        <v>33</v>
      </c>
      <c r="K132" s="1" t="s">
        <v>33</v>
      </c>
      <c r="L132" s="1">
        <v>7.91827992089216</v>
      </c>
      <c r="M132" s="1">
        <v>36.9945935608993</v>
      </c>
      <c r="N132" s="1" t="s">
        <v>31</v>
      </c>
    </row>
    <row r="133" ht="15.75" customHeight="1">
      <c r="A133" s="1">
        <v>10.0</v>
      </c>
      <c r="B133" s="1">
        <v>253.0</v>
      </c>
      <c r="C133" s="1" t="s">
        <v>55</v>
      </c>
      <c r="D133" s="1" t="s">
        <v>88</v>
      </c>
      <c r="E133" s="1" t="s">
        <v>98</v>
      </c>
      <c r="F133" s="1" t="s">
        <v>695</v>
      </c>
      <c r="G133" s="1" t="s">
        <v>696</v>
      </c>
      <c r="H133" s="1">
        <v>4.78819475400792</v>
      </c>
      <c r="I133" s="1">
        <v>26.4216336548482</v>
      </c>
      <c r="J133" s="1" t="s">
        <v>33</v>
      </c>
      <c r="K133" s="1" t="s">
        <v>33</v>
      </c>
      <c r="L133" s="1">
        <v>6.48880463225554</v>
      </c>
      <c r="M133" s="1">
        <v>32.2799517848028</v>
      </c>
      <c r="N133" s="1" t="s">
        <v>31</v>
      </c>
    </row>
    <row r="134" ht="15.75" customHeight="1">
      <c r="A134" s="1">
        <v>10.0</v>
      </c>
      <c r="B134" s="1">
        <v>254.0</v>
      </c>
      <c r="C134" s="1" t="s">
        <v>55</v>
      </c>
      <c r="D134" s="1" t="s">
        <v>88</v>
      </c>
      <c r="E134" s="1" t="s">
        <v>98</v>
      </c>
      <c r="F134" s="1" t="s">
        <v>698</v>
      </c>
      <c r="G134" s="1" t="s">
        <v>699</v>
      </c>
      <c r="H134" s="1">
        <v>5.426932190053</v>
      </c>
      <c r="I134" s="1">
        <v>21.2870925210568</v>
      </c>
      <c r="J134" s="1" t="s">
        <v>33</v>
      </c>
      <c r="K134" s="1" t="s">
        <v>33</v>
      </c>
      <c r="L134" s="1">
        <v>5.98501278883215</v>
      </c>
      <c r="M134" s="1">
        <v>27.6252072373218</v>
      </c>
      <c r="N134" s="1" t="s">
        <v>31</v>
      </c>
    </row>
    <row r="135" ht="15.75" customHeight="1">
      <c r="A135" s="1">
        <v>10.0</v>
      </c>
      <c r="B135" s="1">
        <v>255.0</v>
      </c>
      <c r="C135" s="1" t="s">
        <v>55</v>
      </c>
      <c r="D135" s="1" t="s">
        <v>88</v>
      </c>
      <c r="E135" s="1" t="s">
        <v>57</v>
      </c>
      <c r="F135" s="1" t="s">
        <v>702</v>
      </c>
      <c r="G135" s="1" t="s">
        <v>703</v>
      </c>
      <c r="H135" s="1">
        <v>3.6840686744431</v>
      </c>
      <c r="I135" s="1">
        <v>21.3154606094731</v>
      </c>
      <c r="J135" s="1" t="s">
        <v>33</v>
      </c>
      <c r="K135" s="1" t="s">
        <v>33</v>
      </c>
      <c r="L135" s="1">
        <v>12.1077082216743</v>
      </c>
      <c r="M135" s="1">
        <v>28.933665071594</v>
      </c>
      <c r="N135" s="1" t="s">
        <v>31</v>
      </c>
    </row>
    <row r="136" ht="15.75" customHeight="1">
      <c r="A136" s="1">
        <v>10.0</v>
      </c>
      <c r="B136" s="1">
        <v>256.0</v>
      </c>
      <c r="C136" s="1" t="s">
        <v>55</v>
      </c>
      <c r="D136" s="1" t="s">
        <v>88</v>
      </c>
      <c r="E136" s="1" t="s">
        <v>57</v>
      </c>
      <c r="F136" s="1" t="s">
        <v>705</v>
      </c>
      <c r="G136" s="1" t="s">
        <v>706</v>
      </c>
      <c r="H136" s="1">
        <v>3.6840686744431</v>
      </c>
      <c r="I136" s="1">
        <v>24.225740133055</v>
      </c>
      <c r="J136" s="1" t="s">
        <v>33</v>
      </c>
      <c r="K136" s="1" t="s">
        <v>33</v>
      </c>
      <c r="L136" s="1">
        <v>12.257154499318</v>
      </c>
      <c r="M136" s="1">
        <v>31.5087522509915</v>
      </c>
      <c r="N136" s="1" t="s">
        <v>31</v>
      </c>
    </row>
    <row r="137" ht="15.75" customHeight="1">
      <c r="A137" s="1">
        <v>10.0</v>
      </c>
      <c r="B137" s="1">
        <v>257.0</v>
      </c>
      <c r="C137" s="1" t="s">
        <v>55</v>
      </c>
      <c r="D137" s="1" t="s">
        <v>88</v>
      </c>
      <c r="E137" s="1" t="s">
        <v>78</v>
      </c>
      <c r="F137" s="1" t="s">
        <v>711</v>
      </c>
      <c r="G137" s="1" t="s">
        <v>713</v>
      </c>
      <c r="H137" s="1">
        <v>17.2035315269708</v>
      </c>
      <c r="I137" s="1">
        <v>4.1119309331468</v>
      </c>
      <c r="J137" s="1" t="s">
        <v>33</v>
      </c>
      <c r="K137" s="1" t="s">
        <v>33</v>
      </c>
      <c r="L137" s="1">
        <v>4.43644523831081</v>
      </c>
      <c r="M137" s="1">
        <v>12.0841931778453</v>
      </c>
      <c r="N137" s="1" t="s">
        <v>31</v>
      </c>
    </row>
    <row r="138" ht="15.75" customHeight="1">
      <c r="A138" s="1">
        <v>10.0</v>
      </c>
      <c r="B138" s="1">
        <v>258.0</v>
      </c>
      <c r="C138" s="1" t="s">
        <v>74</v>
      </c>
      <c r="D138" s="1" t="s">
        <v>88</v>
      </c>
      <c r="E138" s="1" t="s">
        <v>78</v>
      </c>
      <c r="F138" s="1" t="s">
        <v>717</v>
      </c>
      <c r="G138" s="1" t="s">
        <v>718</v>
      </c>
      <c r="H138" s="1">
        <v>4.1119309331468</v>
      </c>
      <c r="I138" s="1">
        <v>33.3232027875428</v>
      </c>
      <c r="J138" s="1" t="s">
        <v>33</v>
      </c>
      <c r="K138" s="1" t="s">
        <v>33</v>
      </c>
      <c r="L138" s="1">
        <v>2.39167425596948</v>
      </c>
      <c r="M138" s="1">
        <v>8.22928226245129</v>
      </c>
      <c r="N138" s="1" t="s">
        <v>31</v>
      </c>
    </row>
    <row r="139" ht="15.75" customHeight="1">
      <c r="A139" s="1">
        <v>10.0</v>
      </c>
      <c r="B139" s="1">
        <v>259.0</v>
      </c>
      <c r="C139" s="1" t="s">
        <v>74</v>
      </c>
      <c r="D139" s="1" t="s">
        <v>88</v>
      </c>
      <c r="E139" s="1" t="s">
        <v>78</v>
      </c>
      <c r="F139" s="1" t="s">
        <v>719</v>
      </c>
      <c r="G139" s="1" t="s">
        <v>720</v>
      </c>
      <c r="H139" s="1">
        <v>3.53013314191936</v>
      </c>
      <c r="I139" s="1">
        <v>33.3232027875428</v>
      </c>
      <c r="J139" s="1" t="s">
        <v>33</v>
      </c>
      <c r="K139" s="1" t="s">
        <v>33</v>
      </c>
      <c r="L139" s="1">
        <v>31.0615164208222</v>
      </c>
      <c r="M139" s="1">
        <v>26.6139969249659</v>
      </c>
      <c r="N139" s="1" t="s">
        <v>31</v>
      </c>
    </row>
    <row r="140" ht="15.75" customHeight="1">
      <c r="A140" s="1">
        <v>10.0</v>
      </c>
      <c r="B140" s="1">
        <v>260.0</v>
      </c>
      <c r="C140" s="1" t="s">
        <v>55</v>
      </c>
      <c r="D140" s="1" t="s">
        <v>88</v>
      </c>
      <c r="E140" s="1" t="s">
        <v>78</v>
      </c>
      <c r="F140" s="1" t="s">
        <v>723</v>
      </c>
      <c r="G140" s="1" t="s">
        <v>724</v>
      </c>
      <c r="H140" s="1">
        <v>34.1633017722946</v>
      </c>
      <c r="I140" s="1">
        <v>3.53013314191936</v>
      </c>
      <c r="J140" s="1" t="s">
        <v>33</v>
      </c>
      <c r="K140" s="1" t="s">
        <v>33</v>
      </c>
      <c r="L140" s="1">
        <v>29.7026648673658</v>
      </c>
      <c r="M140" s="1">
        <v>24.456466787035</v>
      </c>
      <c r="N140" s="1" t="s">
        <v>31</v>
      </c>
    </row>
    <row r="141" ht="15.75" customHeight="1">
      <c r="A141" s="1">
        <v>11.0</v>
      </c>
      <c r="B141" s="1">
        <v>224.0</v>
      </c>
      <c r="C141" s="1" t="s">
        <v>55</v>
      </c>
      <c r="D141" s="1" t="s">
        <v>109</v>
      </c>
      <c r="E141" s="1" t="s">
        <v>98</v>
      </c>
      <c r="F141" s="1" t="s">
        <v>726</v>
      </c>
      <c r="G141" s="1" t="s">
        <v>728</v>
      </c>
      <c r="H141" s="1">
        <v>31.1364524148697</v>
      </c>
      <c r="I141" s="1">
        <v>116.323554803361</v>
      </c>
      <c r="J141" s="1" t="s">
        <v>33</v>
      </c>
      <c r="K141" s="1" t="s">
        <v>33</v>
      </c>
      <c r="L141" s="1">
        <v>108.205697816054</v>
      </c>
      <c r="M141" s="1">
        <v>53.4346579080399</v>
      </c>
      <c r="N141" s="1" t="s">
        <v>31</v>
      </c>
    </row>
    <row r="142" ht="15.75" customHeight="1">
      <c r="A142" s="1">
        <v>11.0</v>
      </c>
      <c r="B142" s="1">
        <v>225.0</v>
      </c>
      <c r="C142" s="1" t="s">
        <v>55</v>
      </c>
      <c r="D142" s="1" t="s">
        <v>109</v>
      </c>
      <c r="E142" s="1" t="s">
        <v>78</v>
      </c>
      <c r="F142" s="1" t="s">
        <v>731</v>
      </c>
      <c r="G142" s="1" t="s">
        <v>735</v>
      </c>
      <c r="H142" s="1">
        <v>31.1364524148697</v>
      </c>
      <c r="I142" s="1">
        <v>88.0006655947014</v>
      </c>
      <c r="J142" s="1" t="s">
        <v>33</v>
      </c>
      <c r="K142" s="1" t="s">
        <v>33</v>
      </c>
      <c r="L142" s="1">
        <v>98.7670400732623</v>
      </c>
      <c r="M142" s="1">
        <v>54.1589578196451</v>
      </c>
      <c r="N142" s="1" t="s">
        <v>31</v>
      </c>
    </row>
    <row r="143" ht="15.75" customHeight="1">
      <c r="A143" s="1">
        <v>11.0</v>
      </c>
      <c r="B143" s="1">
        <v>226.0</v>
      </c>
      <c r="C143" s="1" t="s">
        <v>55</v>
      </c>
      <c r="D143" s="1" t="s">
        <v>109</v>
      </c>
      <c r="E143" s="1" t="s">
        <v>78</v>
      </c>
      <c r="F143" s="1" t="s">
        <v>742</v>
      </c>
      <c r="G143" s="1" t="s">
        <v>743</v>
      </c>
      <c r="H143" s="1">
        <v>27.7865469967301</v>
      </c>
      <c r="I143" s="1">
        <v>53.6788817318923</v>
      </c>
      <c r="J143" s="1" t="s">
        <v>33</v>
      </c>
      <c r="K143" s="1" t="s">
        <v>33</v>
      </c>
      <c r="L143" s="1">
        <v>89.672160713427</v>
      </c>
      <c r="M143" s="1">
        <v>59.4689655205783</v>
      </c>
      <c r="N143" s="1" t="s">
        <v>31</v>
      </c>
    </row>
    <row r="144" ht="15.75" customHeight="1">
      <c r="A144" s="1">
        <v>11.0</v>
      </c>
      <c r="B144" s="1">
        <v>227.0</v>
      </c>
      <c r="C144" s="1" t="s">
        <v>55</v>
      </c>
      <c r="D144" s="1" t="s">
        <v>109</v>
      </c>
      <c r="E144" s="1" t="s">
        <v>78</v>
      </c>
      <c r="F144" s="1" t="s">
        <v>749</v>
      </c>
      <c r="G144" s="1" t="s">
        <v>752</v>
      </c>
      <c r="H144" s="1">
        <v>45.1454950688501</v>
      </c>
      <c r="I144" s="1">
        <v>48.0545027753654</v>
      </c>
      <c r="J144" s="1" t="s">
        <v>33</v>
      </c>
      <c r="K144" s="1" t="s">
        <v>33</v>
      </c>
      <c r="L144" s="1">
        <v>130.385592297393</v>
      </c>
      <c r="M144" s="1">
        <v>26.2991199530059</v>
      </c>
      <c r="N144" s="1" t="s">
        <v>31</v>
      </c>
    </row>
    <row r="145" ht="15.75" customHeight="1">
      <c r="A145" s="1">
        <v>11.0</v>
      </c>
      <c r="B145" s="1">
        <v>228.0</v>
      </c>
      <c r="C145" s="1" t="s">
        <v>55</v>
      </c>
      <c r="D145" s="1" t="s">
        <v>109</v>
      </c>
      <c r="E145" s="1" t="s">
        <v>78</v>
      </c>
      <c r="F145" s="1" t="s">
        <v>761</v>
      </c>
      <c r="G145" s="1" t="s">
        <v>763</v>
      </c>
      <c r="H145" s="1">
        <v>20.9162065874715</v>
      </c>
      <c r="I145" s="1">
        <v>25.0272051175806</v>
      </c>
      <c r="J145" s="1" t="s">
        <v>33</v>
      </c>
      <c r="K145" s="1" t="s">
        <v>33</v>
      </c>
      <c r="L145" s="1">
        <v>24.6387084900175</v>
      </c>
      <c r="M145" s="1">
        <v>3.41107069033543</v>
      </c>
      <c r="N145" s="1" t="s">
        <v>31</v>
      </c>
    </row>
    <row r="146" ht="15.75" customHeight="1">
      <c r="A146" s="1">
        <v>11.0</v>
      </c>
      <c r="B146" s="1">
        <v>229.0</v>
      </c>
      <c r="C146" s="1" t="s">
        <v>55</v>
      </c>
      <c r="D146" s="1" t="s">
        <v>109</v>
      </c>
      <c r="E146" s="1" t="s">
        <v>78</v>
      </c>
      <c r="F146" s="1" t="s">
        <v>767</v>
      </c>
      <c r="G146" s="1" t="s">
        <v>768</v>
      </c>
      <c r="H146" s="1">
        <v>12.8914027938918</v>
      </c>
      <c r="I146" s="1">
        <v>4.68343228810009</v>
      </c>
      <c r="J146" s="1" t="s">
        <v>33</v>
      </c>
      <c r="K146" s="1" t="s">
        <v>33</v>
      </c>
      <c r="L146" s="1">
        <v>37.1775932521541</v>
      </c>
      <c r="M146" s="1">
        <v>17.2273076284396</v>
      </c>
      <c r="N146" s="1" t="s">
        <v>31</v>
      </c>
    </row>
    <row r="147" ht="15.75" customHeight="1">
      <c r="A147" s="1">
        <v>11.0</v>
      </c>
      <c r="B147" s="1">
        <v>230.0</v>
      </c>
      <c r="C147" s="1" t="s">
        <v>74</v>
      </c>
      <c r="D147" s="1" t="s">
        <v>109</v>
      </c>
      <c r="E147" s="1" t="s">
        <v>78</v>
      </c>
      <c r="F147" s="1" t="s">
        <v>769</v>
      </c>
      <c r="G147" s="1" t="s">
        <v>770</v>
      </c>
      <c r="H147" s="1">
        <v>4.68343228810009</v>
      </c>
      <c r="I147" s="1">
        <v>80.059676504074</v>
      </c>
      <c r="J147" s="1" t="s">
        <v>33</v>
      </c>
      <c r="K147" s="1" t="s">
        <v>33</v>
      </c>
      <c r="L147" s="1">
        <v>38.9323656974299</v>
      </c>
      <c r="M147" s="1">
        <v>15.7275954179647</v>
      </c>
      <c r="N147" s="1" t="s">
        <v>31</v>
      </c>
    </row>
    <row r="148" ht="15.75" customHeight="1">
      <c r="A148" s="1">
        <v>11.0</v>
      </c>
      <c r="B148" s="1">
        <v>231.0</v>
      </c>
      <c r="C148" s="1" t="s">
        <v>55</v>
      </c>
      <c r="D148" s="1" t="s">
        <v>109</v>
      </c>
      <c r="E148" s="1" t="s">
        <v>78</v>
      </c>
      <c r="F148" s="1" t="s">
        <v>771</v>
      </c>
      <c r="G148" s="1" t="s">
        <v>773</v>
      </c>
      <c r="H148" s="1">
        <v>11.0255819801261</v>
      </c>
      <c r="I148" s="1">
        <v>8.85358735234919</v>
      </c>
      <c r="J148" s="1" t="s">
        <v>33</v>
      </c>
      <c r="K148" s="1" t="s">
        <v>33</v>
      </c>
      <c r="L148" s="1">
        <v>36.781860464735</v>
      </c>
      <c r="M148" s="1">
        <v>8.86001402872304</v>
      </c>
      <c r="N148" s="1" t="s">
        <v>31</v>
      </c>
    </row>
    <row r="149" ht="15.75" customHeight="1">
      <c r="A149" s="1">
        <v>11.0</v>
      </c>
      <c r="B149" s="1">
        <v>232.0</v>
      </c>
      <c r="C149" s="1" t="s">
        <v>55</v>
      </c>
      <c r="D149" s="1" t="s">
        <v>109</v>
      </c>
      <c r="E149" s="1" t="s">
        <v>78</v>
      </c>
      <c r="F149" s="1" t="s">
        <v>774</v>
      </c>
      <c r="G149" s="1" t="s">
        <v>775</v>
      </c>
      <c r="H149" s="1">
        <v>5.38567925195454</v>
      </c>
      <c r="I149" s="1">
        <v>11.2006260989415</v>
      </c>
      <c r="J149" s="1" t="s">
        <v>33</v>
      </c>
      <c r="K149" s="1" t="s">
        <v>33</v>
      </c>
      <c r="L149" s="1">
        <v>47.5911258869403</v>
      </c>
      <c r="M149" s="1">
        <v>18.5553712625045</v>
      </c>
      <c r="N149" s="1" t="s">
        <v>31</v>
      </c>
    </row>
    <row r="150" ht="15.75" customHeight="1">
      <c r="A150" s="1">
        <v>11.0</v>
      </c>
      <c r="B150" s="1">
        <v>233.0</v>
      </c>
      <c r="C150" s="1" t="s">
        <v>55</v>
      </c>
      <c r="D150" s="1" t="s">
        <v>109</v>
      </c>
      <c r="E150" s="1" t="s">
        <v>78</v>
      </c>
      <c r="F150" s="1" t="s">
        <v>776</v>
      </c>
      <c r="G150" s="1" t="s">
        <v>777</v>
      </c>
      <c r="H150" s="1">
        <v>5.38567925195454</v>
      </c>
      <c r="I150" s="1">
        <v>10.0126154425924</v>
      </c>
      <c r="J150" s="1" t="s">
        <v>33</v>
      </c>
      <c r="K150" s="1" t="s">
        <v>33</v>
      </c>
      <c r="L150" s="1">
        <v>48.7846058219474</v>
      </c>
      <c r="M150" s="1">
        <v>22.6000290064171</v>
      </c>
      <c r="N150" s="1" t="s">
        <v>31</v>
      </c>
    </row>
    <row r="151" ht="15.75" customHeight="1">
      <c r="A151" s="1">
        <v>11.0</v>
      </c>
      <c r="B151" s="1">
        <v>234.0</v>
      </c>
      <c r="C151" s="1" t="s">
        <v>55</v>
      </c>
      <c r="D151" s="1" t="s">
        <v>109</v>
      </c>
      <c r="E151" s="1" t="s">
        <v>78</v>
      </c>
      <c r="F151" s="1" t="s">
        <v>778</v>
      </c>
      <c r="G151" s="1" t="s">
        <v>779</v>
      </c>
      <c r="H151" s="1">
        <v>4.59128402520568</v>
      </c>
      <c r="I151" s="1">
        <v>24.8723204585485</v>
      </c>
      <c r="J151" s="1" t="s">
        <v>33</v>
      </c>
      <c r="K151" s="1" t="s">
        <v>33</v>
      </c>
      <c r="L151" s="1">
        <v>57.5538980229459</v>
      </c>
      <c r="M151" s="1">
        <v>31.7631340964901</v>
      </c>
      <c r="N151" s="1" t="s">
        <v>31</v>
      </c>
    </row>
    <row r="152" ht="15.75" customHeight="1">
      <c r="A152" s="1">
        <v>11.0</v>
      </c>
      <c r="B152" s="1">
        <v>235.0</v>
      </c>
      <c r="C152" s="1" t="s">
        <v>55</v>
      </c>
      <c r="D152" s="1" t="s">
        <v>109</v>
      </c>
      <c r="E152" s="1" t="s">
        <v>78</v>
      </c>
      <c r="F152" s="1" t="s">
        <v>780</v>
      </c>
      <c r="G152" s="1" t="s">
        <v>781</v>
      </c>
      <c r="H152" s="1">
        <v>4.59128402520568</v>
      </c>
      <c r="I152" s="1">
        <v>29.3678944425937</v>
      </c>
      <c r="J152" s="1" t="s">
        <v>33</v>
      </c>
      <c r="K152" s="1" t="s">
        <v>33</v>
      </c>
      <c r="L152" s="1">
        <v>60.8639122645096</v>
      </c>
      <c r="M152" s="1">
        <v>31.5431674775353</v>
      </c>
      <c r="N152" s="1" t="s">
        <v>31</v>
      </c>
    </row>
    <row r="153" ht="15.75" customHeight="1">
      <c r="A153" s="1">
        <v>11.0</v>
      </c>
      <c r="B153" s="1">
        <v>236.0</v>
      </c>
      <c r="C153" s="1" t="s">
        <v>55</v>
      </c>
      <c r="D153" s="1" t="s">
        <v>109</v>
      </c>
      <c r="E153" s="1" t="s">
        <v>78</v>
      </c>
      <c r="F153" s="1" t="s">
        <v>783</v>
      </c>
      <c r="G153" s="1" t="s">
        <v>784</v>
      </c>
      <c r="H153" s="1">
        <v>5.93889501540075</v>
      </c>
      <c r="I153" s="1">
        <v>35.145999061172</v>
      </c>
      <c r="J153" s="1" t="s">
        <v>33</v>
      </c>
      <c r="K153" s="1" t="s">
        <v>33</v>
      </c>
      <c r="L153" s="1">
        <v>65.1143528205583</v>
      </c>
      <c r="M153" s="1">
        <v>31.7838194705884</v>
      </c>
      <c r="N153" s="1" t="s">
        <v>31</v>
      </c>
    </row>
    <row r="154" ht="15.75" customHeight="1">
      <c r="A154" s="1">
        <v>11.0</v>
      </c>
      <c r="B154" s="1">
        <v>237.0</v>
      </c>
      <c r="C154" s="1" t="s">
        <v>74</v>
      </c>
      <c r="D154" s="1" t="s">
        <v>109</v>
      </c>
      <c r="E154" s="1" t="s">
        <v>57</v>
      </c>
      <c r="F154" s="1" t="s">
        <v>785</v>
      </c>
      <c r="G154" s="1" t="s">
        <v>786</v>
      </c>
      <c r="H154" s="1">
        <v>3.67132074315075</v>
      </c>
      <c r="I154" s="1">
        <v>80.059676504074</v>
      </c>
      <c r="J154" s="1" t="s">
        <v>33</v>
      </c>
      <c r="K154" s="1" t="s">
        <v>33</v>
      </c>
      <c r="L154" s="1">
        <v>86.8856952399</v>
      </c>
      <c r="M154" s="1">
        <v>16.3077684729643</v>
      </c>
      <c r="N154" s="1" t="s">
        <v>31</v>
      </c>
    </row>
    <row r="155" ht="15.75" customHeight="1">
      <c r="A155" s="1">
        <v>11.0</v>
      </c>
      <c r="B155" s="1">
        <v>238.0</v>
      </c>
      <c r="C155" s="1" t="s">
        <v>55</v>
      </c>
      <c r="D155" s="1" t="s">
        <v>109</v>
      </c>
      <c r="E155" s="1" t="s">
        <v>57</v>
      </c>
      <c r="F155" s="1" t="s">
        <v>787</v>
      </c>
      <c r="G155" s="1" t="s">
        <v>788</v>
      </c>
      <c r="H155" s="1">
        <v>45.1454950688501</v>
      </c>
      <c r="I155" s="1">
        <v>3.67132074315075</v>
      </c>
      <c r="J155" s="1" t="s">
        <v>33</v>
      </c>
      <c r="K155" s="1" t="s">
        <v>33</v>
      </c>
      <c r="L155" s="1">
        <v>88.3589121790913</v>
      </c>
      <c r="M155" s="1">
        <v>14.8779533487416</v>
      </c>
      <c r="N155" s="1" t="s">
        <v>31</v>
      </c>
    </row>
    <row r="156" ht="15.75" customHeight="1">
      <c r="A156" s="1">
        <v>11.0</v>
      </c>
      <c r="B156" s="1">
        <v>239.0</v>
      </c>
      <c r="C156" s="1" t="s">
        <v>74</v>
      </c>
      <c r="D156" s="1" t="s">
        <v>109</v>
      </c>
      <c r="E156" s="1" t="s">
        <v>78</v>
      </c>
      <c r="F156" s="1" t="s">
        <v>789</v>
      </c>
      <c r="G156" s="1" t="s">
        <v>790</v>
      </c>
      <c r="H156" s="1">
        <v>63.9741044175097</v>
      </c>
      <c r="I156" s="1">
        <v>63.9741044175097</v>
      </c>
      <c r="J156" s="1" t="s">
        <v>33</v>
      </c>
      <c r="K156" s="1" t="s">
        <v>33</v>
      </c>
      <c r="L156" s="1">
        <v>62.1555057287198</v>
      </c>
      <c r="M156" s="1">
        <v>8.94654508575386</v>
      </c>
      <c r="N156" s="1" t="s">
        <v>31</v>
      </c>
    </row>
    <row r="157" ht="15.75" customHeight="1">
      <c r="A157" s="1">
        <v>11.0</v>
      </c>
      <c r="B157" s="1">
        <v>240.0</v>
      </c>
      <c r="C157" s="1" t="s">
        <v>74</v>
      </c>
      <c r="D157" s="1" t="s">
        <v>109</v>
      </c>
      <c r="E157" s="1" t="s">
        <v>78</v>
      </c>
      <c r="F157" s="1" t="s">
        <v>791</v>
      </c>
      <c r="G157" s="1" t="s">
        <v>792</v>
      </c>
      <c r="H157" s="1">
        <v>0.0</v>
      </c>
      <c r="I157" s="1">
        <v>6.00716114272647</v>
      </c>
      <c r="J157" s="1" t="s">
        <v>33</v>
      </c>
      <c r="K157" s="1" t="s">
        <v>33</v>
      </c>
      <c r="L157" s="1">
        <v>117.253086401023</v>
      </c>
      <c r="M157" s="1">
        <v>15.0659271388443</v>
      </c>
      <c r="N157" s="1" t="s">
        <v>31</v>
      </c>
    </row>
    <row r="158" ht="15.75" customHeight="1">
      <c r="A158" s="1">
        <v>11.0</v>
      </c>
      <c r="B158" s="1">
        <v>241.0</v>
      </c>
      <c r="C158" s="1" t="s">
        <v>55</v>
      </c>
      <c r="D158" s="1" t="s">
        <v>109</v>
      </c>
      <c r="E158" s="1" t="s">
        <v>78</v>
      </c>
      <c r="F158" s="1" t="s">
        <v>791</v>
      </c>
      <c r="G158" s="1" t="s">
        <v>792</v>
      </c>
      <c r="H158" s="1">
        <v>46.0534105684559</v>
      </c>
      <c r="I158" s="1">
        <v>0.0</v>
      </c>
      <c r="J158" s="1" t="s">
        <v>33</v>
      </c>
      <c r="K158" s="1" t="s">
        <v>33</v>
      </c>
      <c r="L158" s="1">
        <v>117.253086401023</v>
      </c>
      <c r="M158" s="1">
        <v>15.0659271388443</v>
      </c>
      <c r="N158" s="1" t="s">
        <v>31</v>
      </c>
    </row>
    <row r="159" ht="15.75" customHeight="1">
      <c r="A159" s="1">
        <v>11.0</v>
      </c>
      <c r="B159" s="1">
        <v>242.0</v>
      </c>
      <c r="C159" s="1" t="s">
        <v>74</v>
      </c>
      <c r="D159" s="1" t="s">
        <v>109</v>
      </c>
      <c r="E159" s="1" t="s">
        <v>78</v>
      </c>
      <c r="F159" s="1" t="s">
        <v>795</v>
      </c>
      <c r="G159" s="1" t="s">
        <v>796</v>
      </c>
      <c r="H159" s="1">
        <v>6.00716114272647</v>
      </c>
      <c r="I159" s="1">
        <v>6.00716114272647</v>
      </c>
      <c r="J159" s="1" t="s">
        <v>33</v>
      </c>
      <c r="K159" s="1" t="s">
        <v>33</v>
      </c>
      <c r="L159" s="1">
        <v>122.632695296679</v>
      </c>
      <c r="M159" s="1">
        <v>10.5803630482815</v>
      </c>
      <c r="N159" s="1" t="s">
        <v>31</v>
      </c>
    </row>
    <row r="160" ht="15.75" customHeight="1">
      <c r="A160" s="1">
        <v>11.0</v>
      </c>
      <c r="B160" s="1">
        <v>243.0</v>
      </c>
      <c r="C160" s="1" t="s">
        <v>74</v>
      </c>
      <c r="D160" s="1" t="s">
        <v>109</v>
      </c>
      <c r="E160" s="1" t="s">
        <v>78</v>
      </c>
      <c r="F160" s="1" t="s">
        <v>799</v>
      </c>
      <c r="G160" s="1" t="s">
        <v>800</v>
      </c>
      <c r="H160" s="1">
        <v>11.7786415600156</v>
      </c>
      <c r="I160" s="1">
        <v>11.3148953155687</v>
      </c>
      <c r="J160" s="1" t="s">
        <v>33</v>
      </c>
      <c r="K160" s="1" t="s">
        <v>33</v>
      </c>
      <c r="L160" s="1">
        <v>111.82921363801</v>
      </c>
      <c r="M160" s="1">
        <v>20.1689175226429</v>
      </c>
      <c r="N160" s="1" t="s">
        <v>31</v>
      </c>
    </row>
    <row r="161" ht="15.75" customHeight="1">
      <c r="A161" s="1">
        <v>11.0</v>
      </c>
      <c r="B161" s="1">
        <v>244.0</v>
      </c>
      <c r="C161" s="1" t="s">
        <v>74</v>
      </c>
      <c r="D161" s="1" t="s">
        <v>109</v>
      </c>
      <c r="E161" s="1" t="s">
        <v>78</v>
      </c>
      <c r="F161" s="1" t="s">
        <v>803</v>
      </c>
      <c r="G161" s="1" t="s">
        <v>804</v>
      </c>
      <c r="H161" s="1">
        <v>4.66313767717793</v>
      </c>
      <c r="I161" s="1">
        <v>23.6503115625852</v>
      </c>
      <c r="J161" s="1" t="s">
        <v>33</v>
      </c>
      <c r="K161" s="1" t="s">
        <v>33</v>
      </c>
      <c r="L161" s="1">
        <v>117.086277125556</v>
      </c>
      <c r="M161" s="1">
        <v>6.24126635578454</v>
      </c>
      <c r="N161" s="1" t="s">
        <v>31</v>
      </c>
    </row>
    <row r="162" ht="15.75" customHeight="1">
      <c r="A162" s="1">
        <v>11.0</v>
      </c>
      <c r="B162" s="1">
        <v>245.0</v>
      </c>
      <c r="C162" s="1" t="s">
        <v>55</v>
      </c>
      <c r="D162" s="1" t="s">
        <v>109</v>
      </c>
      <c r="E162" s="1" t="s">
        <v>78</v>
      </c>
      <c r="F162" s="1" t="s">
        <v>805</v>
      </c>
      <c r="G162" s="1" t="s">
        <v>807</v>
      </c>
      <c r="H162" s="1">
        <v>30.1935469262415</v>
      </c>
      <c r="I162" s="1">
        <v>4.66313767717793</v>
      </c>
      <c r="J162" s="1" t="s">
        <v>33</v>
      </c>
      <c r="K162" s="1" t="s">
        <v>33</v>
      </c>
      <c r="L162" s="1">
        <v>115.55154262282</v>
      </c>
      <c r="M162" s="1">
        <v>7.40273665237607</v>
      </c>
      <c r="N162" s="1" t="s">
        <v>31</v>
      </c>
    </row>
    <row r="163" ht="15.75" customHeight="1">
      <c r="A163" s="1">
        <v>11.0</v>
      </c>
      <c r="B163" s="1">
        <v>246.0</v>
      </c>
      <c r="C163" s="1" t="s">
        <v>74</v>
      </c>
      <c r="D163" s="1" t="s">
        <v>109</v>
      </c>
      <c r="E163" s="1" t="s">
        <v>78</v>
      </c>
      <c r="F163" s="1" t="s">
        <v>808</v>
      </c>
      <c r="G163" s="1" t="s">
        <v>809</v>
      </c>
      <c r="H163" s="1">
        <v>3.14742053110748</v>
      </c>
      <c r="I163" s="1">
        <v>23.6503115625852</v>
      </c>
      <c r="J163" s="1" t="s">
        <v>33</v>
      </c>
      <c r="K163" s="1" t="s">
        <v>33</v>
      </c>
      <c r="L163" s="1">
        <v>113.369903732383</v>
      </c>
      <c r="M163" s="1">
        <v>15.4200689666632</v>
      </c>
      <c r="N163" s="1" t="s">
        <v>31</v>
      </c>
    </row>
    <row r="164" ht="15.75" customHeight="1">
      <c r="A164" s="1">
        <v>11.0</v>
      </c>
      <c r="B164" s="1">
        <v>247.0</v>
      </c>
      <c r="C164" s="1" t="s">
        <v>55</v>
      </c>
      <c r="D164" s="1" t="s">
        <v>109</v>
      </c>
      <c r="E164" s="1" t="s">
        <v>78</v>
      </c>
      <c r="F164" s="1" t="s">
        <v>810</v>
      </c>
      <c r="G164" s="1" t="s">
        <v>811</v>
      </c>
      <c r="H164" s="1">
        <v>30.1935469262415</v>
      </c>
      <c r="I164" s="1">
        <v>3.14742053110748</v>
      </c>
      <c r="J164" s="1" t="s">
        <v>33</v>
      </c>
      <c r="K164" s="1" t="s">
        <v>33</v>
      </c>
      <c r="L164" s="1">
        <v>111.400736678303</v>
      </c>
      <c r="M164" s="1">
        <v>18.2394066730772</v>
      </c>
      <c r="N164" s="1" t="s">
        <v>31</v>
      </c>
    </row>
    <row r="165" ht="15.75" customHeight="1">
      <c r="A165" s="1">
        <v>11.0</v>
      </c>
      <c r="B165" s="1">
        <v>248.0</v>
      </c>
      <c r="C165" s="1" t="s">
        <v>74</v>
      </c>
      <c r="D165" s="1" t="s">
        <v>109</v>
      </c>
      <c r="E165" s="1" t="s">
        <v>78</v>
      </c>
      <c r="F165" s="1" t="s">
        <v>812</v>
      </c>
      <c r="G165" s="1" t="s">
        <v>813</v>
      </c>
      <c r="H165" s="1">
        <v>1.20785967714612</v>
      </c>
      <c r="I165" s="1">
        <v>167.175392854018</v>
      </c>
      <c r="J165" s="1" t="s">
        <v>33</v>
      </c>
      <c r="K165" s="1" t="s">
        <v>33</v>
      </c>
      <c r="L165" s="1">
        <v>4.67588233174953</v>
      </c>
      <c r="M165" s="1">
        <v>25.6652986218538</v>
      </c>
      <c r="N165" s="1" t="s">
        <v>31</v>
      </c>
    </row>
    <row r="166" ht="15.75" customHeight="1">
      <c r="A166" s="1">
        <v>11.0</v>
      </c>
      <c r="B166" s="1">
        <v>249.0</v>
      </c>
      <c r="C166" s="1" t="s">
        <v>55</v>
      </c>
      <c r="D166" s="1" t="s">
        <v>109</v>
      </c>
      <c r="E166" s="1" t="s">
        <v>78</v>
      </c>
      <c r="F166" s="1" t="s">
        <v>815</v>
      </c>
      <c r="G166" s="1" t="s">
        <v>816</v>
      </c>
      <c r="H166" s="1">
        <v>170.560197446425</v>
      </c>
      <c r="I166" s="1">
        <v>1.20785967714612</v>
      </c>
      <c r="J166" s="1" t="s">
        <v>33</v>
      </c>
      <c r="K166" s="1" t="s">
        <v>33</v>
      </c>
      <c r="L166" s="1">
        <v>4.88288194744288</v>
      </c>
      <c r="M166" s="1">
        <v>26.2949946015125</v>
      </c>
      <c r="N166" s="1" t="s">
        <v>31</v>
      </c>
    </row>
    <row r="167" ht="15.75" customHeight="1">
      <c r="A167" s="1">
        <v>12.0</v>
      </c>
      <c r="B167" s="1">
        <v>99.0</v>
      </c>
      <c r="C167" s="1" t="s">
        <v>55</v>
      </c>
      <c r="D167" s="1" t="s">
        <v>125</v>
      </c>
      <c r="E167" s="1" t="s">
        <v>78</v>
      </c>
      <c r="F167" s="1" t="s">
        <v>817</v>
      </c>
      <c r="G167" s="1" t="s">
        <v>818</v>
      </c>
      <c r="H167" s="1">
        <v>5.9089254526247</v>
      </c>
      <c r="I167" s="1" t="s">
        <v>33</v>
      </c>
      <c r="J167" s="1" t="s">
        <v>33</v>
      </c>
      <c r="K167" s="1" t="s">
        <v>33</v>
      </c>
      <c r="L167" s="1">
        <v>10.5443820233304</v>
      </c>
      <c r="M167" s="1">
        <v>23.3622224325776</v>
      </c>
      <c r="N167" s="1" t="s">
        <v>31</v>
      </c>
    </row>
    <row r="168" ht="15.75" customHeight="1">
      <c r="A168" s="1">
        <v>12.0</v>
      </c>
      <c r="B168" s="1">
        <v>100.0</v>
      </c>
      <c r="C168" s="1" t="s">
        <v>55</v>
      </c>
      <c r="D168" s="1" t="s">
        <v>125</v>
      </c>
      <c r="E168" s="1" t="s">
        <v>78</v>
      </c>
      <c r="F168" s="1" t="s">
        <v>819</v>
      </c>
      <c r="G168" s="1" t="s">
        <v>820</v>
      </c>
      <c r="H168" s="1">
        <v>3.89455260537983</v>
      </c>
      <c r="I168" s="1" t="s">
        <v>33</v>
      </c>
      <c r="J168" s="1" t="s">
        <v>33</v>
      </c>
      <c r="K168" s="1" t="s">
        <v>33</v>
      </c>
      <c r="L168" s="1">
        <v>10.1663467246421</v>
      </c>
      <c r="M168" s="1">
        <v>18.477754078232</v>
      </c>
      <c r="N168" s="1" t="s">
        <v>31</v>
      </c>
    </row>
    <row r="169" ht="15.75" customHeight="1">
      <c r="A169" s="1">
        <v>12.0</v>
      </c>
      <c r="B169" s="1">
        <v>101.0</v>
      </c>
      <c r="C169" s="1" t="s">
        <v>55</v>
      </c>
      <c r="D169" s="1" t="s">
        <v>125</v>
      </c>
      <c r="E169" s="1" t="s">
        <v>78</v>
      </c>
      <c r="F169" s="1" t="s">
        <v>821</v>
      </c>
      <c r="G169" s="1" t="s">
        <v>822</v>
      </c>
      <c r="H169" s="1">
        <v>3.07243519090926</v>
      </c>
      <c r="I169" s="1" t="s">
        <v>33</v>
      </c>
      <c r="J169" s="1" t="s">
        <v>33</v>
      </c>
      <c r="K169" s="1" t="s">
        <v>33</v>
      </c>
      <c r="L169" s="1">
        <v>6.27713309437911</v>
      </c>
      <c r="M169" s="1">
        <v>18.7348631392267</v>
      </c>
      <c r="N169" s="1" t="s">
        <v>31</v>
      </c>
    </row>
    <row r="170" ht="15.75" customHeight="1">
      <c r="A170" s="1">
        <v>12.0</v>
      </c>
      <c r="B170" s="1">
        <v>102.0</v>
      </c>
      <c r="C170" s="1" t="s">
        <v>55</v>
      </c>
      <c r="D170" s="1" t="s">
        <v>125</v>
      </c>
      <c r="E170" s="1" t="s">
        <v>78</v>
      </c>
      <c r="F170" s="1" t="s">
        <v>823</v>
      </c>
      <c r="G170" s="1" t="s">
        <v>824</v>
      </c>
      <c r="H170" s="1">
        <v>3.07243519090926</v>
      </c>
      <c r="I170" s="1" t="s">
        <v>33</v>
      </c>
      <c r="J170" s="1" t="s">
        <v>33</v>
      </c>
      <c r="K170" s="1" t="s">
        <v>33</v>
      </c>
      <c r="L170" s="1">
        <v>4.48400958334781</v>
      </c>
      <c r="M170" s="1">
        <v>18.8972970114279</v>
      </c>
      <c r="N170" s="1" t="s">
        <v>31</v>
      </c>
    </row>
    <row r="171" ht="15.75" customHeight="1">
      <c r="A171" s="1">
        <v>12.0</v>
      </c>
      <c r="B171" s="1">
        <v>103.0</v>
      </c>
      <c r="C171" s="1" t="s">
        <v>55</v>
      </c>
      <c r="D171" s="1" t="s">
        <v>125</v>
      </c>
      <c r="E171" s="1" t="s">
        <v>78</v>
      </c>
      <c r="F171" s="1" t="s">
        <v>825</v>
      </c>
      <c r="G171" s="1" t="s">
        <v>826</v>
      </c>
      <c r="H171" s="1">
        <v>14.5489836416358</v>
      </c>
      <c r="I171" s="1" t="s">
        <v>33</v>
      </c>
      <c r="J171" s="1" t="s">
        <v>33</v>
      </c>
      <c r="K171" s="1" t="s">
        <v>33</v>
      </c>
      <c r="L171" s="1">
        <v>16.0690560534578</v>
      </c>
      <c r="M171" s="1">
        <v>7.57985436474119</v>
      </c>
      <c r="N171" s="1" t="s">
        <v>31</v>
      </c>
    </row>
    <row r="172" ht="15.75" customHeight="1">
      <c r="A172" s="1">
        <v>14.0</v>
      </c>
      <c r="B172" s="1">
        <v>531.0</v>
      </c>
      <c r="C172" s="1" t="s">
        <v>55</v>
      </c>
      <c r="D172" s="1" t="s">
        <v>135</v>
      </c>
      <c r="E172" s="1" t="s">
        <v>57</v>
      </c>
      <c r="F172" s="1" t="s">
        <v>827</v>
      </c>
      <c r="G172" s="1" t="s">
        <v>828</v>
      </c>
      <c r="H172" s="1">
        <v>21.4483856965236</v>
      </c>
      <c r="I172" s="1">
        <v>10.2558724636168</v>
      </c>
      <c r="J172" s="1" t="s">
        <v>33</v>
      </c>
      <c r="K172" s="1" t="s">
        <v>33</v>
      </c>
      <c r="L172" s="1">
        <v>31.0604432157195</v>
      </c>
      <c r="M172" s="1">
        <v>41.5830746244864</v>
      </c>
      <c r="N172" s="1" t="s">
        <v>31</v>
      </c>
    </row>
    <row r="173" ht="15.75" customHeight="1">
      <c r="A173" s="1">
        <v>14.0</v>
      </c>
      <c r="B173" s="1">
        <v>532.0</v>
      </c>
      <c r="C173" s="1" t="s">
        <v>55</v>
      </c>
      <c r="D173" s="1" t="s">
        <v>135</v>
      </c>
      <c r="E173" s="1" t="s">
        <v>57</v>
      </c>
      <c r="F173" s="1" t="s">
        <v>829</v>
      </c>
      <c r="G173" s="1" t="s">
        <v>830</v>
      </c>
      <c r="H173" s="1">
        <v>21.4483856965236</v>
      </c>
      <c r="I173" s="1">
        <v>11.3306648085787</v>
      </c>
      <c r="J173" s="1" t="s">
        <v>33</v>
      </c>
      <c r="K173" s="1" t="s">
        <v>33</v>
      </c>
      <c r="L173" s="1">
        <v>52.3209648095811</v>
      </c>
      <c r="M173" s="1">
        <v>22.799624385827</v>
      </c>
      <c r="N173" s="1" t="s">
        <v>31</v>
      </c>
    </row>
    <row r="174" ht="15.75" customHeight="1">
      <c r="A174" s="1">
        <v>14.0</v>
      </c>
      <c r="B174" s="1">
        <v>533.0</v>
      </c>
      <c r="C174" s="1" t="s">
        <v>74</v>
      </c>
      <c r="D174" s="1" t="s">
        <v>135</v>
      </c>
      <c r="E174" s="1" t="s">
        <v>57</v>
      </c>
      <c r="F174" s="1" t="s">
        <v>831</v>
      </c>
      <c r="G174" s="1" t="s">
        <v>832</v>
      </c>
      <c r="H174" s="1">
        <v>47.6007725253349</v>
      </c>
      <c r="I174" s="1">
        <v>100.736937783976</v>
      </c>
      <c r="J174" s="1" t="s">
        <v>33</v>
      </c>
      <c r="K174" s="1" t="s">
        <v>33</v>
      </c>
      <c r="L174" s="1">
        <v>141.078900320331</v>
      </c>
      <c r="M174" s="1">
        <v>53.4155811920413</v>
      </c>
      <c r="N174" s="1" t="s">
        <v>31</v>
      </c>
    </row>
    <row r="175" ht="15.75" customHeight="1">
      <c r="A175" s="1">
        <v>14.0</v>
      </c>
      <c r="B175" s="1">
        <v>534.0</v>
      </c>
      <c r="C175" s="1" t="s">
        <v>55</v>
      </c>
      <c r="D175" s="1" t="s">
        <v>135</v>
      </c>
      <c r="E175" s="1" t="s">
        <v>57</v>
      </c>
      <c r="F175" s="1" t="s">
        <v>833</v>
      </c>
      <c r="G175" s="1" t="s">
        <v>834</v>
      </c>
      <c r="H175" s="1">
        <v>20.2906984105952</v>
      </c>
      <c r="I175" s="1">
        <v>47.6007725253349</v>
      </c>
      <c r="J175" s="1" t="s">
        <v>33</v>
      </c>
      <c r="K175" s="1" t="s">
        <v>33</v>
      </c>
      <c r="L175" s="1">
        <v>108.350399387587</v>
      </c>
      <c r="M175" s="1">
        <v>6.38335987156054</v>
      </c>
      <c r="N175" s="1" t="s">
        <v>31</v>
      </c>
    </row>
    <row r="176" ht="15.75" customHeight="1">
      <c r="A176" s="1">
        <v>14.0</v>
      </c>
      <c r="B176" s="1">
        <v>535.0</v>
      </c>
      <c r="C176" s="1" t="s">
        <v>55</v>
      </c>
      <c r="D176" s="1" t="s">
        <v>135</v>
      </c>
      <c r="E176" s="1" t="s">
        <v>57</v>
      </c>
      <c r="F176" s="1" t="s">
        <v>835</v>
      </c>
      <c r="G176" s="1" t="s">
        <v>836</v>
      </c>
      <c r="H176" s="1">
        <v>20.2906984105952</v>
      </c>
      <c r="I176" s="1">
        <v>56.5911818659036</v>
      </c>
      <c r="J176" s="1" t="s">
        <v>33</v>
      </c>
      <c r="K176" s="1" t="s">
        <v>33</v>
      </c>
      <c r="L176" s="1">
        <v>122.166098588626</v>
      </c>
      <c r="M176" s="1">
        <v>7.28105290140148</v>
      </c>
      <c r="N176" s="1" t="s">
        <v>31</v>
      </c>
    </row>
    <row r="177" ht="15.75" customHeight="1">
      <c r="A177" s="1">
        <v>14.0</v>
      </c>
      <c r="B177" s="1">
        <v>536.0</v>
      </c>
      <c r="C177" s="1" t="s">
        <v>74</v>
      </c>
      <c r="D177" s="1" t="s">
        <v>135</v>
      </c>
      <c r="E177" s="1" t="s">
        <v>57</v>
      </c>
      <c r="F177" s="1" t="s">
        <v>837</v>
      </c>
      <c r="G177" s="1" t="s">
        <v>839</v>
      </c>
      <c r="H177" s="1">
        <v>10.2558724636168</v>
      </c>
      <c r="I177" s="1">
        <v>47.9235634942504</v>
      </c>
      <c r="J177" s="1" t="s">
        <v>33</v>
      </c>
      <c r="K177" s="1" t="s">
        <v>33</v>
      </c>
      <c r="L177" s="1">
        <v>40.9905435101639</v>
      </c>
      <c r="M177" s="1">
        <v>31.9840596613821</v>
      </c>
      <c r="N177" s="1" t="s">
        <v>31</v>
      </c>
    </row>
    <row r="178" ht="15.75" customHeight="1">
      <c r="A178" s="1">
        <v>14.0</v>
      </c>
      <c r="B178" s="1">
        <v>537.0</v>
      </c>
      <c r="C178" s="1" t="s">
        <v>74</v>
      </c>
      <c r="D178" s="1" t="s">
        <v>135</v>
      </c>
      <c r="E178" s="1" t="s">
        <v>57</v>
      </c>
      <c r="F178" s="1" t="s">
        <v>841</v>
      </c>
      <c r="G178" s="1" t="s">
        <v>842</v>
      </c>
      <c r="H178" s="1">
        <v>10.6225675337974</v>
      </c>
      <c r="I178" s="1">
        <v>47.9235634942504</v>
      </c>
      <c r="J178" s="1" t="s">
        <v>33</v>
      </c>
      <c r="K178" s="1" t="s">
        <v>33</v>
      </c>
      <c r="L178" s="1">
        <v>0.470815539735491</v>
      </c>
      <c r="M178" s="1">
        <v>20.7060325753244</v>
      </c>
      <c r="N178" s="1" t="s">
        <v>31</v>
      </c>
    </row>
    <row r="179" ht="15.75" customHeight="1">
      <c r="A179" s="1">
        <v>14.0</v>
      </c>
      <c r="B179" s="1">
        <v>538.0</v>
      </c>
      <c r="C179" s="1" t="s">
        <v>55</v>
      </c>
      <c r="D179" s="1" t="s">
        <v>135</v>
      </c>
      <c r="E179" s="1" t="s">
        <v>57</v>
      </c>
      <c r="F179" s="1" t="s">
        <v>844</v>
      </c>
      <c r="G179" s="1" t="s">
        <v>845</v>
      </c>
      <c r="H179" s="1">
        <v>29.0090197179774</v>
      </c>
      <c r="I179" s="1">
        <v>10.6225675337974</v>
      </c>
      <c r="J179" s="1" t="s">
        <v>33</v>
      </c>
      <c r="K179" s="1" t="s">
        <v>33</v>
      </c>
      <c r="L179" s="1">
        <v>2.49457036638841</v>
      </c>
      <c r="M179" s="1">
        <v>30.6392893500398</v>
      </c>
      <c r="N179" s="1" t="s">
        <v>31</v>
      </c>
    </row>
    <row r="180" ht="15.75" customHeight="1">
      <c r="A180" s="1">
        <v>14.0</v>
      </c>
      <c r="B180" s="1">
        <v>539.0</v>
      </c>
      <c r="C180" s="1" t="s">
        <v>55</v>
      </c>
      <c r="D180" s="1" t="s">
        <v>135</v>
      </c>
      <c r="E180" s="1" t="s">
        <v>57</v>
      </c>
      <c r="F180" s="1" t="s">
        <v>846</v>
      </c>
      <c r="G180" s="1" t="s">
        <v>847</v>
      </c>
      <c r="H180" s="1">
        <v>19.6504210897405</v>
      </c>
      <c r="I180" s="1">
        <v>33.7964309653245</v>
      </c>
      <c r="J180" s="1" t="s">
        <v>33</v>
      </c>
      <c r="K180" s="1" t="s">
        <v>33</v>
      </c>
      <c r="L180" s="1">
        <v>33.960925698689</v>
      </c>
      <c r="M180" s="1">
        <v>58.1382163616507</v>
      </c>
      <c r="N180" s="1" t="s">
        <v>31</v>
      </c>
    </row>
    <row r="181" ht="15.75" customHeight="1">
      <c r="A181" s="1">
        <v>14.0</v>
      </c>
      <c r="B181" s="1">
        <v>540.0</v>
      </c>
      <c r="C181" s="1" t="s">
        <v>55</v>
      </c>
      <c r="D181" s="1" t="s">
        <v>135</v>
      </c>
      <c r="E181" s="1" t="s">
        <v>78</v>
      </c>
      <c r="F181" s="1" t="s">
        <v>848</v>
      </c>
      <c r="G181" s="1" t="s">
        <v>849</v>
      </c>
      <c r="H181" s="1">
        <v>19.6504210897405</v>
      </c>
      <c r="I181" s="1">
        <v>38.357904126772</v>
      </c>
      <c r="J181" s="1" t="s">
        <v>33</v>
      </c>
      <c r="K181" s="1" t="s">
        <v>33</v>
      </c>
      <c r="L181" s="1">
        <v>15.5666235362178</v>
      </c>
      <c r="M181" s="1">
        <v>39.2885524832566</v>
      </c>
      <c r="N181" s="1" t="s">
        <v>31</v>
      </c>
    </row>
    <row r="182" ht="15.75" customHeight="1">
      <c r="A182" s="1">
        <v>15.0</v>
      </c>
      <c r="B182" s="1">
        <v>171.0</v>
      </c>
      <c r="C182" s="1" t="s">
        <v>55</v>
      </c>
      <c r="D182" s="1" t="s">
        <v>142</v>
      </c>
      <c r="E182" s="1" t="s">
        <v>57</v>
      </c>
      <c r="F182" s="1" t="s">
        <v>850</v>
      </c>
      <c r="G182" s="1" t="s">
        <v>851</v>
      </c>
      <c r="H182" s="1">
        <v>9.28109524811359</v>
      </c>
      <c r="I182" s="1" t="s">
        <v>33</v>
      </c>
      <c r="J182" s="1" t="s">
        <v>33</v>
      </c>
      <c r="K182" s="1" t="s">
        <v>33</v>
      </c>
      <c r="L182" s="1">
        <v>56.6097575464938</v>
      </c>
      <c r="M182" s="1">
        <v>12.6970308763777</v>
      </c>
      <c r="N182" s="1" t="s">
        <v>36</v>
      </c>
    </row>
    <row r="183" ht="15.75" customHeight="1">
      <c r="A183" s="1">
        <v>15.0</v>
      </c>
      <c r="B183" s="1">
        <v>172.0</v>
      </c>
      <c r="C183" s="1" t="s">
        <v>55</v>
      </c>
      <c r="D183" s="1" t="s">
        <v>142</v>
      </c>
      <c r="E183" s="1" t="s">
        <v>57</v>
      </c>
      <c r="F183" s="1" t="s">
        <v>852</v>
      </c>
      <c r="G183" s="1" t="s">
        <v>853</v>
      </c>
      <c r="H183" s="1">
        <v>9.28109524811359</v>
      </c>
      <c r="I183" s="1" t="s">
        <v>33</v>
      </c>
      <c r="J183" s="1" t="s">
        <v>33</v>
      </c>
      <c r="K183" s="1" t="s">
        <v>33</v>
      </c>
      <c r="L183" s="1">
        <v>49.2078083154833</v>
      </c>
      <c r="M183" s="1">
        <v>21.9333347783813</v>
      </c>
      <c r="N183" s="1" t="s">
        <v>36</v>
      </c>
    </row>
    <row r="184" ht="15.75" customHeight="1">
      <c r="A184" s="1">
        <v>15.0</v>
      </c>
      <c r="B184" s="1">
        <v>173.0</v>
      </c>
      <c r="C184" s="1" t="s">
        <v>55</v>
      </c>
      <c r="D184" s="1" t="s">
        <v>142</v>
      </c>
      <c r="E184" s="1" t="s">
        <v>57</v>
      </c>
      <c r="F184" s="1" t="s">
        <v>855</v>
      </c>
      <c r="G184" s="1" t="s">
        <v>856</v>
      </c>
      <c r="H184" s="1">
        <v>9.50337971435392</v>
      </c>
      <c r="I184" s="1" t="s">
        <v>33</v>
      </c>
      <c r="J184" s="1" t="s">
        <v>33</v>
      </c>
      <c r="K184" s="1" t="s">
        <v>33</v>
      </c>
      <c r="L184" s="1">
        <v>47.1724503313614</v>
      </c>
      <c r="M184" s="1">
        <v>18.9277518073635</v>
      </c>
      <c r="N184" s="1" t="s">
        <v>36</v>
      </c>
    </row>
    <row r="185" ht="15.75" customHeight="1">
      <c r="A185" s="1">
        <v>15.0</v>
      </c>
      <c r="B185" s="1">
        <v>174.0</v>
      </c>
      <c r="C185" s="1" t="s">
        <v>55</v>
      </c>
      <c r="D185" s="1" t="s">
        <v>142</v>
      </c>
      <c r="E185" s="1" t="s">
        <v>57</v>
      </c>
      <c r="F185" s="1" t="s">
        <v>857</v>
      </c>
      <c r="G185" s="1" t="s">
        <v>858</v>
      </c>
      <c r="H185" s="1">
        <v>8.72697943126006</v>
      </c>
      <c r="I185" s="1" t="s">
        <v>33</v>
      </c>
      <c r="J185" s="1" t="s">
        <v>33</v>
      </c>
      <c r="K185" s="1" t="s">
        <v>33</v>
      </c>
      <c r="L185" s="1">
        <v>44.4602553045969</v>
      </c>
      <c r="M185" s="1">
        <v>15.736130630508</v>
      </c>
      <c r="N185" s="1" t="s">
        <v>36</v>
      </c>
    </row>
    <row r="186" ht="15.75" customHeight="1">
      <c r="A186" s="1">
        <v>15.0</v>
      </c>
      <c r="B186" s="1">
        <v>175.0</v>
      </c>
      <c r="C186" s="1" t="s">
        <v>55</v>
      </c>
      <c r="D186" s="1" t="s">
        <v>142</v>
      </c>
      <c r="E186" s="1" t="s">
        <v>57</v>
      </c>
      <c r="F186" s="1" t="s">
        <v>857</v>
      </c>
      <c r="G186" s="1" t="s">
        <v>858</v>
      </c>
      <c r="H186" s="1">
        <v>8.72697943126006</v>
      </c>
      <c r="I186" s="1" t="s">
        <v>33</v>
      </c>
      <c r="J186" s="1" t="s">
        <v>33</v>
      </c>
      <c r="K186" s="1" t="s">
        <v>33</v>
      </c>
      <c r="L186" s="1">
        <v>44.4602553045969</v>
      </c>
      <c r="M186" s="1">
        <v>15.736130630508</v>
      </c>
      <c r="N186" s="1" t="s">
        <v>36</v>
      </c>
    </row>
    <row r="187" ht="15.75" customHeight="1">
      <c r="A187" s="1">
        <v>15.0</v>
      </c>
      <c r="B187" s="1">
        <v>176.0</v>
      </c>
      <c r="C187" s="1" t="s">
        <v>55</v>
      </c>
      <c r="D187" s="1" t="s">
        <v>142</v>
      </c>
      <c r="E187" s="1" t="s">
        <v>57</v>
      </c>
      <c r="F187" s="1" t="s">
        <v>857</v>
      </c>
      <c r="G187" s="1" t="s">
        <v>858</v>
      </c>
      <c r="H187" s="1">
        <v>8.72697943126006</v>
      </c>
      <c r="I187" s="1" t="s">
        <v>33</v>
      </c>
      <c r="J187" s="1" t="s">
        <v>33</v>
      </c>
      <c r="K187" s="1" t="s">
        <v>33</v>
      </c>
      <c r="L187" s="1">
        <v>44.4602553045969</v>
      </c>
      <c r="M187" s="1">
        <v>15.736130630508</v>
      </c>
      <c r="N187" s="1" t="s">
        <v>36</v>
      </c>
    </row>
    <row r="188" ht="15.75" customHeight="1">
      <c r="A188" s="1">
        <v>15.0</v>
      </c>
      <c r="B188" s="1">
        <v>177.0</v>
      </c>
      <c r="C188" s="1" t="s">
        <v>55</v>
      </c>
      <c r="D188" s="1" t="s">
        <v>142</v>
      </c>
      <c r="E188" s="1" t="s">
        <v>57</v>
      </c>
      <c r="F188" s="1" t="s">
        <v>857</v>
      </c>
      <c r="G188" s="1" t="s">
        <v>858</v>
      </c>
      <c r="H188" s="1">
        <v>8.72697943126006</v>
      </c>
      <c r="I188" s="1" t="s">
        <v>33</v>
      </c>
      <c r="J188" s="1" t="s">
        <v>33</v>
      </c>
      <c r="K188" s="1" t="s">
        <v>33</v>
      </c>
      <c r="L188" s="1">
        <v>44.4602553045969</v>
      </c>
      <c r="M188" s="1">
        <v>15.736130630508</v>
      </c>
      <c r="N188" s="1" t="s">
        <v>36</v>
      </c>
    </row>
    <row r="189" ht="15.75" customHeight="1">
      <c r="A189" s="1">
        <v>15.0</v>
      </c>
      <c r="B189" s="1">
        <v>178.0</v>
      </c>
      <c r="C189" s="1" t="s">
        <v>55</v>
      </c>
      <c r="D189" s="1" t="s">
        <v>142</v>
      </c>
      <c r="E189" s="1" t="s">
        <v>57</v>
      </c>
      <c r="F189" s="1" t="s">
        <v>871</v>
      </c>
      <c r="G189" s="1" t="s">
        <v>872</v>
      </c>
      <c r="H189" s="1">
        <v>10.1848099637063</v>
      </c>
      <c r="I189" s="1" t="s">
        <v>33</v>
      </c>
      <c r="J189" s="1" t="s">
        <v>33</v>
      </c>
      <c r="K189" s="1" t="s">
        <v>33</v>
      </c>
      <c r="L189" s="1">
        <v>40.8738199053455</v>
      </c>
      <c r="M189" s="1">
        <v>13.9904194825789</v>
      </c>
      <c r="N189" s="1" t="s">
        <v>36</v>
      </c>
    </row>
    <row r="190" ht="15.75" customHeight="1">
      <c r="A190" s="1">
        <v>15.0</v>
      </c>
      <c r="B190" s="1">
        <v>179.0</v>
      </c>
      <c r="C190" s="1" t="s">
        <v>55</v>
      </c>
      <c r="D190" s="1" t="s">
        <v>142</v>
      </c>
      <c r="E190" s="1" t="s">
        <v>57</v>
      </c>
      <c r="F190" s="1" t="s">
        <v>857</v>
      </c>
      <c r="G190" s="1" t="s">
        <v>858</v>
      </c>
      <c r="H190" s="1">
        <v>8.72697943126006</v>
      </c>
      <c r="I190" s="1" t="s">
        <v>33</v>
      </c>
      <c r="J190" s="1" t="s">
        <v>33</v>
      </c>
      <c r="K190" s="1" t="s">
        <v>33</v>
      </c>
      <c r="L190" s="1">
        <v>44.4602553045969</v>
      </c>
      <c r="M190" s="1">
        <v>15.736130630508</v>
      </c>
      <c r="N190" s="1" t="s">
        <v>36</v>
      </c>
    </row>
    <row r="191" ht="15.75" customHeight="1">
      <c r="A191" s="1">
        <v>15.0</v>
      </c>
      <c r="B191" s="1">
        <v>180.0</v>
      </c>
      <c r="C191" s="1" t="s">
        <v>55</v>
      </c>
      <c r="D191" s="1" t="s">
        <v>142</v>
      </c>
      <c r="E191" s="1" t="s">
        <v>57</v>
      </c>
      <c r="F191" s="1" t="s">
        <v>875</v>
      </c>
      <c r="G191" s="1" t="s">
        <v>876</v>
      </c>
      <c r="H191" s="1">
        <v>8.72697943126006</v>
      </c>
      <c r="I191" s="1" t="s">
        <v>33</v>
      </c>
      <c r="J191" s="1" t="s">
        <v>33</v>
      </c>
      <c r="K191" s="1" t="s">
        <v>33</v>
      </c>
      <c r="L191" s="1">
        <v>35.7384008379639</v>
      </c>
      <c r="M191" s="1">
        <v>23.1718984623515</v>
      </c>
      <c r="N191" s="1" t="s">
        <v>36</v>
      </c>
    </row>
    <row r="192" ht="15.75" customHeight="1">
      <c r="A192" s="1">
        <v>15.0</v>
      </c>
      <c r="B192" s="1">
        <v>181.0</v>
      </c>
      <c r="C192" s="1" t="s">
        <v>55</v>
      </c>
      <c r="D192" s="1" t="s">
        <v>142</v>
      </c>
      <c r="E192" s="1" t="s">
        <v>57</v>
      </c>
      <c r="F192" s="1" t="s">
        <v>879</v>
      </c>
      <c r="G192" s="1" t="s">
        <v>880</v>
      </c>
      <c r="H192" s="1">
        <v>14.5037521004459</v>
      </c>
      <c r="I192" s="1" t="s">
        <v>33</v>
      </c>
      <c r="J192" s="1" t="s">
        <v>33</v>
      </c>
      <c r="K192" s="1" t="s">
        <v>33</v>
      </c>
      <c r="L192" s="1">
        <v>34.771976029471</v>
      </c>
      <c r="M192" s="1">
        <v>35.2410088948516</v>
      </c>
      <c r="N192" s="1" t="s">
        <v>36</v>
      </c>
    </row>
    <row r="193" ht="15.75" customHeight="1">
      <c r="A193" s="1">
        <v>15.0</v>
      </c>
      <c r="B193" s="1">
        <v>182.0</v>
      </c>
      <c r="C193" s="1" t="s">
        <v>55</v>
      </c>
      <c r="D193" s="1" t="s">
        <v>142</v>
      </c>
      <c r="E193" s="1" t="s">
        <v>57</v>
      </c>
      <c r="F193" s="1" t="s">
        <v>875</v>
      </c>
      <c r="G193" s="1" t="s">
        <v>876</v>
      </c>
      <c r="H193" s="1">
        <v>8.72697943126006</v>
      </c>
      <c r="I193" s="1" t="s">
        <v>33</v>
      </c>
      <c r="J193" s="1" t="s">
        <v>33</v>
      </c>
      <c r="K193" s="1" t="s">
        <v>33</v>
      </c>
      <c r="L193" s="1">
        <v>35.7384008379639</v>
      </c>
      <c r="M193" s="1">
        <v>23.1718984623515</v>
      </c>
      <c r="N193" s="1" t="s">
        <v>36</v>
      </c>
    </row>
    <row r="194" ht="15.75" customHeight="1">
      <c r="A194" s="1">
        <v>16.0</v>
      </c>
      <c r="B194" s="1">
        <v>183.0</v>
      </c>
      <c r="C194" s="1" t="s">
        <v>55</v>
      </c>
      <c r="D194" s="1" t="s">
        <v>159</v>
      </c>
      <c r="E194" s="1" t="s">
        <v>57</v>
      </c>
      <c r="F194" s="1" t="s">
        <v>884</v>
      </c>
      <c r="G194" s="1" t="s">
        <v>885</v>
      </c>
      <c r="H194" s="1">
        <v>10.0922988462597</v>
      </c>
      <c r="I194" s="1">
        <v>48.7638991466727</v>
      </c>
      <c r="J194" s="1" t="s">
        <v>33</v>
      </c>
      <c r="K194" s="1" t="s">
        <v>33</v>
      </c>
      <c r="L194" s="1">
        <v>4.39834609582528</v>
      </c>
      <c r="M194" s="1">
        <v>64.3842847863847</v>
      </c>
      <c r="N194" s="1" t="s">
        <v>36</v>
      </c>
    </row>
    <row r="195" ht="15.75" customHeight="1">
      <c r="A195" s="1">
        <v>16.0</v>
      </c>
      <c r="B195" s="1">
        <v>184.0</v>
      </c>
      <c r="C195" s="1" t="s">
        <v>55</v>
      </c>
      <c r="D195" s="1" t="s">
        <v>159</v>
      </c>
      <c r="E195" s="1" t="s">
        <v>57</v>
      </c>
      <c r="F195" s="1" t="s">
        <v>888</v>
      </c>
      <c r="G195" s="1" t="s">
        <v>889</v>
      </c>
      <c r="H195" s="1">
        <v>9.15862391390741</v>
      </c>
      <c r="I195" s="1">
        <v>38.6828026386491</v>
      </c>
      <c r="J195" s="1" t="s">
        <v>33</v>
      </c>
      <c r="K195" s="1" t="s">
        <v>33</v>
      </c>
      <c r="L195" s="1">
        <v>0.495882527367594</v>
      </c>
      <c r="M195" s="1">
        <v>54.2926451126716</v>
      </c>
      <c r="N195" s="1" t="s">
        <v>36</v>
      </c>
    </row>
    <row r="196" ht="15.75" customHeight="1">
      <c r="A196" s="1">
        <v>16.0</v>
      </c>
      <c r="B196" s="1">
        <v>185.0</v>
      </c>
      <c r="C196" s="1" t="s">
        <v>55</v>
      </c>
      <c r="D196" s="1" t="s">
        <v>159</v>
      </c>
      <c r="E196" s="1" t="s">
        <v>57</v>
      </c>
      <c r="F196" s="1" t="s">
        <v>891</v>
      </c>
      <c r="G196" s="1" t="s">
        <v>892</v>
      </c>
      <c r="H196" s="1">
        <v>1.1871920656812</v>
      </c>
      <c r="I196" s="1">
        <v>30.5365735634253</v>
      </c>
      <c r="J196" s="1" t="s">
        <v>33</v>
      </c>
      <c r="K196" s="1" t="s">
        <v>33</v>
      </c>
      <c r="L196" s="1">
        <v>4.48681623372848</v>
      </c>
      <c r="M196" s="1">
        <v>46.4204592801673</v>
      </c>
      <c r="N196" s="1" t="s">
        <v>36</v>
      </c>
    </row>
    <row r="197" ht="15.75" customHeight="1">
      <c r="A197" s="1">
        <v>16.0</v>
      </c>
      <c r="B197" s="1">
        <v>186.0</v>
      </c>
      <c r="C197" s="1" t="s">
        <v>55</v>
      </c>
      <c r="D197" s="1" t="s">
        <v>159</v>
      </c>
      <c r="E197" s="1" t="s">
        <v>57</v>
      </c>
      <c r="F197" s="1" t="s">
        <v>891</v>
      </c>
      <c r="G197" s="1" t="s">
        <v>892</v>
      </c>
      <c r="H197" s="1">
        <v>1.1871920656812</v>
      </c>
      <c r="I197" s="1">
        <v>30.5365735634253</v>
      </c>
      <c r="J197" s="1" t="s">
        <v>33</v>
      </c>
      <c r="K197" s="1" t="s">
        <v>33</v>
      </c>
      <c r="L197" s="1">
        <v>4.48681623372848</v>
      </c>
      <c r="M197" s="1">
        <v>46.4204592801673</v>
      </c>
      <c r="N197" s="1" t="s">
        <v>36</v>
      </c>
    </row>
    <row r="198" ht="15.75" customHeight="1">
      <c r="A198" s="1">
        <v>16.0</v>
      </c>
      <c r="B198" s="1">
        <v>187.0</v>
      </c>
      <c r="C198" s="1" t="s">
        <v>55</v>
      </c>
      <c r="D198" s="1" t="s">
        <v>159</v>
      </c>
      <c r="E198" s="1" t="s">
        <v>57</v>
      </c>
      <c r="F198" s="1" t="s">
        <v>895</v>
      </c>
      <c r="G198" s="1" t="s">
        <v>896</v>
      </c>
      <c r="H198" s="1">
        <v>10.8967457989223</v>
      </c>
      <c r="I198" s="1">
        <v>21.1575708671756</v>
      </c>
      <c r="J198" s="1" t="s">
        <v>33</v>
      </c>
      <c r="K198" s="1" t="s">
        <v>33</v>
      </c>
      <c r="L198" s="1">
        <v>3.46661033909827</v>
      </c>
      <c r="M198" s="1">
        <v>36.6361323554668</v>
      </c>
      <c r="N198" s="1" t="s">
        <v>36</v>
      </c>
    </row>
    <row r="199" ht="15.75" customHeight="1">
      <c r="A199" s="1">
        <v>16.0</v>
      </c>
      <c r="B199" s="1">
        <v>188.0</v>
      </c>
      <c r="C199" s="1" t="s">
        <v>55</v>
      </c>
      <c r="D199" s="1" t="s">
        <v>159</v>
      </c>
      <c r="E199" s="1" t="s">
        <v>57</v>
      </c>
      <c r="F199" s="1" t="s">
        <v>895</v>
      </c>
      <c r="G199" s="1" t="s">
        <v>896</v>
      </c>
      <c r="H199" s="1">
        <v>10.8967457989223</v>
      </c>
      <c r="I199" s="1">
        <v>21.1575708671756</v>
      </c>
      <c r="J199" s="1" t="s">
        <v>33</v>
      </c>
      <c r="K199" s="1" t="s">
        <v>33</v>
      </c>
      <c r="L199" s="1">
        <v>3.46661033909827</v>
      </c>
      <c r="M199" s="1">
        <v>36.6361323554668</v>
      </c>
      <c r="N199" s="1" t="s">
        <v>36</v>
      </c>
    </row>
    <row r="200" ht="15.75" customHeight="1">
      <c r="A200" s="1">
        <v>16.0</v>
      </c>
      <c r="B200" s="1">
        <v>189.0</v>
      </c>
      <c r="C200" s="1" t="s">
        <v>55</v>
      </c>
      <c r="D200" s="1" t="s">
        <v>159</v>
      </c>
      <c r="E200" s="1" t="s">
        <v>57</v>
      </c>
      <c r="F200" s="1" t="s">
        <v>902</v>
      </c>
      <c r="G200" s="1" t="s">
        <v>903</v>
      </c>
      <c r="H200" s="1">
        <v>10.5185710530853</v>
      </c>
      <c r="I200" s="1">
        <v>0.0</v>
      </c>
      <c r="J200" s="1" t="s">
        <v>33</v>
      </c>
      <c r="K200" s="1" t="s">
        <v>33</v>
      </c>
      <c r="L200" s="1">
        <v>1.01282056571731</v>
      </c>
      <c r="M200" s="1">
        <v>15.8944941472043</v>
      </c>
      <c r="N200" s="1" t="s">
        <v>36</v>
      </c>
    </row>
    <row r="201" ht="15.75" customHeight="1">
      <c r="A201" s="1">
        <v>16.0</v>
      </c>
      <c r="B201" s="1">
        <v>190.0</v>
      </c>
      <c r="C201" s="1" t="s">
        <v>55</v>
      </c>
      <c r="D201" s="1" t="s">
        <v>159</v>
      </c>
      <c r="E201" s="1" t="s">
        <v>57</v>
      </c>
      <c r="F201" s="1" t="s">
        <v>902</v>
      </c>
      <c r="G201" s="1" t="s">
        <v>903</v>
      </c>
      <c r="H201" s="1">
        <v>10.5185710530853</v>
      </c>
      <c r="I201" s="1">
        <v>0.0</v>
      </c>
      <c r="J201" s="1" t="s">
        <v>33</v>
      </c>
      <c r="K201" s="1" t="s">
        <v>33</v>
      </c>
      <c r="L201" s="1">
        <v>1.01282056571731</v>
      </c>
      <c r="M201" s="1">
        <v>15.8944941472043</v>
      </c>
      <c r="N201" s="1" t="s">
        <v>36</v>
      </c>
    </row>
    <row r="202" ht="15.75" customHeight="1">
      <c r="A202" s="1">
        <v>16.0</v>
      </c>
      <c r="B202" s="1">
        <v>191.0</v>
      </c>
      <c r="C202" s="1" t="s">
        <v>74</v>
      </c>
      <c r="D202" s="1" t="s">
        <v>159</v>
      </c>
      <c r="E202" s="1" t="s">
        <v>57</v>
      </c>
      <c r="F202" s="1" t="s">
        <v>902</v>
      </c>
      <c r="G202" s="1" t="s">
        <v>903</v>
      </c>
      <c r="H202" s="1">
        <v>0.0</v>
      </c>
      <c r="I202" s="1" t="s">
        <v>33</v>
      </c>
      <c r="J202" s="1" t="s">
        <v>33</v>
      </c>
      <c r="K202" s="1" t="s">
        <v>33</v>
      </c>
      <c r="L202" s="1">
        <v>1.01282056571731</v>
      </c>
      <c r="M202" s="1">
        <v>15.8944941472043</v>
      </c>
      <c r="N202" s="1" t="s">
        <v>36</v>
      </c>
    </row>
    <row r="203" ht="15.75" customHeight="1">
      <c r="A203" s="1">
        <v>16.0</v>
      </c>
      <c r="B203" s="1">
        <v>192.0</v>
      </c>
      <c r="C203" s="1" t="s">
        <v>55</v>
      </c>
      <c r="D203" s="1" t="s">
        <v>159</v>
      </c>
      <c r="E203" s="1" t="s">
        <v>57</v>
      </c>
      <c r="F203" s="1" t="s">
        <v>908</v>
      </c>
      <c r="G203" s="1" t="s">
        <v>909</v>
      </c>
      <c r="H203" s="1">
        <v>5.00322785765445</v>
      </c>
      <c r="I203" s="1">
        <v>10.5185710530853</v>
      </c>
      <c r="J203" s="1" t="s">
        <v>33</v>
      </c>
      <c r="K203" s="1" t="s">
        <v>33</v>
      </c>
      <c r="L203" s="1">
        <v>3.73297996282054</v>
      </c>
      <c r="M203" s="1">
        <v>25.6676131728468</v>
      </c>
      <c r="N203" s="1" t="s">
        <v>36</v>
      </c>
    </row>
    <row r="204" ht="15.75" customHeight="1">
      <c r="A204" s="1">
        <v>16.0</v>
      </c>
      <c r="B204" s="1">
        <v>193.0</v>
      </c>
      <c r="C204" s="1" t="s">
        <v>55</v>
      </c>
      <c r="D204" s="1" t="s">
        <v>159</v>
      </c>
      <c r="E204" s="1" t="s">
        <v>57</v>
      </c>
      <c r="F204" s="1" t="s">
        <v>910</v>
      </c>
      <c r="G204" s="1" t="s">
        <v>911</v>
      </c>
      <c r="H204" s="1">
        <v>10.1714105706259</v>
      </c>
      <c r="I204" s="1">
        <v>50.2544696719335</v>
      </c>
      <c r="J204" s="1" t="s">
        <v>33</v>
      </c>
      <c r="K204" s="1" t="s">
        <v>33</v>
      </c>
      <c r="L204" s="1">
        <v>26.8486098369392</v>
      </c>
      <c r="M204" s="1">
        <v>52.108707248383</v>
      </c>
      <c r="N204" s="1" t="s">
        <v>36</v>
      </c>
    </row>
    <row r="205" ht="15.75" customHeight="1">
      <c r="A205" s="1">
        <v>16.0</v>
      </c>
      <c r="B205" s="1">
        <v>194.0</v>
      </c>
      <c r="C205" s="1" t="s">
        <v>55</v>
      </c>
      <c r="D205" s="1" t="s">
        <v>159</v>
      </c>
      <c r="E205" s="1" t="s">
        <v>57</v>
      </c>
      <c r="F205" s="1" t="s">
        <v>914</v>
      </c>
      <c r="G205" s="1" t="s">
        <v>915</v>
      </c>
      <c r="H205" s="1">
        <v>10.0725517124744</v>
      </c>
      <c r="I205" s="1">
        <v>58.1768517968691</v>
      </c>
      <c r="J205" s="1" t="s">
        <v>33</v>
      </c>
      <c r="K205" s="1" t="s">
        <v>33</v>
      </c>
      <c r="L205" s="1">
        <v>24.6344137127602</v>
      </c>
      <c r="M205" s="1">
        <v>61.4899845011884</v>
      </c>
      <c r="N205" s="1" t="s">
        <v>36</v>
      </c>
    </row>
    <row r="206" ht="15.75" customHeight="1">
      <c r="A206" s="1">
        <v>16.0</v>
      </c>
      <c r="B206" s="1">
        <v>195.0</v>
      </c>
      <c r="C206" s="1" t="s">
        <v>55</v>
      </c>
      <c r="D206" s="1" t="s">
        <v>159</v>
      </c>
      <c r="E206" s="1" t="s">
        <v>57</v>
      </c>
      <c r="F206" s="1" t="s">
        <v>917</v>
      </c>
      <c r="G206" s="1" t="s">
        <v>919</v>
      </c>
      <c r="H206" s="1">
        <v>10.0725517124744</v>
      </c>
      <c r="I206" s="1">
        <v>67.3091455672814</v>
      </c>
      <c r="J206" s="1" t="s">
        <v>33</v>
      </c>
      <c r="K206" s="1" t="s">
        <v>33</v>
      </c>
      <c r="L206" s="1">
        <v>27.790277538043</v>
      </c>
      <c r="M206" s="1">
        <v>64.9102888205799</v>
      </c>
      <c r="N206" s="1" t="s">
        <v>36</v>
      </c>
    </row>
    <row r="207" ht="15.75" customHeight="1">
      <c r="A207" s="1">
        <v>16.0</v>
      </c>
      <c r="B207" s="1">
        <v>196.0</v>
      </c>
      <c r="C207" s="1" t="s">
        <v>55</v>
      </c>
      <c r="D207" s="1" t="s">
        <v>159</v>
      </c>
      <c r="E207" s="1" t="s">
        <v>57</v>
      </c>
      <c r="F207" s="1" t="s">
        <v>917</v>
      </c>
      <c r="G207" s="1" t="s">
        <v>919</v>
      </c>
      <c r="H207" s="1">
        <v>10.0725517124744</v>
      </c>
      <c r="I207" s="1">
        <v>67.3091455672814</v>
      </c>
      <c r="J207" s="1" t="s">
        <v>33</v>
      </c>
      <c r="K207" s="1" t="s">
        <v>33</v>
      </c>
      <c r="L207" s="1">
        <v>27.790277538043</v>
      </c>
      <c r="M207" s="1">
        <v>64.9102888205799</v>
      </c>
      <c r="N207" s="1" t="s">
        <v>36</v>
      </c>
    </row>
    <row r="208" ht="15.75" customHeight="1">
      <c r="A208" s="1">
        <v>16.0</v>
      </c>
      <c r="B208" s="1">
        <v>197.0</v>
      </c>
      <c r="C208" s="1" t="s">
        <v>55</v>
      </c>
      <c r="D208" s="1" t="s">
        <v>159</v>
      </c>
      <c r="E208" s="1" t="s">
        <v>57</v>
      </c>
      <c r="F208" s="1" t="s">
        <v>922</v>
      </c>
      <c r="G208" s="1" t="s">
        <v>923</v>
      </c>
      <c r="H208" s="1">
        <v>10.0346027820969</v>
      </c>
      <c r="I208" s="1">
        <v>71.5217123465973</v>
      </c>
      <c r="J208" s="1" t="s">
        <v>33</v>
      </c>
      <c r="K208" s="1" t="s">
        <v>33</v>
      </c>
      <c r="L208" s="1">
        <v>23.0377379589065</v>
      </c>
      <c r="M208" s="1">
        <v>86.5837735404385</v>
      </c>
      <c r="N208" s="1" t="s">
        <v>36</v>
      </c>
    </row>
    <row r="209" ht="15.75" customHeight="1">
      <c r="A209" s="1">
        <v>16.0</v>
      </c>
      <c r="B209" s="1">
        <v>198.0</v>
      </c>
      <c r="C209" s="1" t="s">
        <v>55</v>
      </c>
      <c r="D209" s="1" t="s">
        <v>159</v>
      </c>
      <c r="E209" s="1" t="s">
        <v>57</v>
      </c>
      <c r="F209" s="1" t="s">
        <v>927</v>
      </c>
      <c r="G209" s="1" t="s">
        <v>928</v>
      </c>
      <c r="H209" s="1">
        <v>9.5192077924738</v>
      </c>
      <c r="I209" s="1">
        <v>64.3075096857034</v>
      </c>
      <c r="J209" s="1" t="s">
        <v>33</v>
      </c>
      <c r="K209" s="1" t="s">
        <v>33</v>
      </c>
      <c r="L209" s="1">
        <v>13.9870655303505</v>
      </c>
      <c r="M209" s="1">
        <v>80.2006340951264</v>
      </c>
      <c r="N209" s="1" t="s">
        <v>36</v>
      </c>
    </row>
    <row r="210" ht="15.75" customHeight="1">
      <c r="A210" s="1">
        <v>16.0</v>
      </c>
      <c r="B210" s="1">
        <v>199.0</v>
      </c>
      <c r="C210" s="1" t="s">
        <v>55</v>
      </c>
      <c r="D210" s="1" t="s">
        <v>159</v>
      </c>
      <c r="E210" s="1" t="s">
        <v>57</v>
      </c>
      <c r="F210" s="1" t="s">
        <v>931</v>
      </c>
      <c r="G210" s="1" t="s">
        <v>932</v>
      </c>
      <c r="H210" s="1">
        <v>3.39577575823592</v>
      </c>
      <c r="I210" s="1">
        <v>54.7983504222577</v>
      </c>
      <c r="J210" s="1" t="s">
        <v>33</v>
      </c>
      <c r="K210" s="1" t="s">
        <v>33</v>
      </c>
      <c r="L210" s="1">
        <v>6.2385181384228</v>
      </c>
      <c r="M210" s="1">
        <v>70.68985554408</v>
      </c>
      <c r="N210" s="1" t="s">
        <v>36</v>
      </c>
    </row>
    <row r="211" ht="15.75" customHeight="1">
      <c r="A211" s="1">
        <v>16.0</v>
      </c>
      <c r="B211" s="1">
        <v>200.0</v>
      </c>
      <c r="C211" s="1" t="s">
        <v>55</v>
      </c>
      <c r="D211" s="1" t="s">
        <v>159</v>
      </c>
      <c r="E211" s="1" t="s">
        <v>57</v>
      </c>
      <c r="F211" s="1" t="s">
        <v>933</v>
      </c>
      <c r="G211" s="1" t="s">
        <v>934</v>
      </c>
      <c r="H211" s="1">
        <v>3.39577575823592</v>
      </c>
      <c r="I211" s="1">
        <v>51.4435880746654</v>
      </c>
      <c r="J211" s="1" t="s">
        <v>33</v>
      </c>
      <c r="K211" s="1" t="s">
        <v>33</v>
      </c>
      <c r="L211" s="1">
        <v>2.91999408616558</v>
      </c>
      <c r="M211" s="1">
        <v>67.3371907844194</v>
      </c>
      <c r="N211" s="1" t="s">
        <v>36</v>
      </c>
    </row>
    <row r="212" ht="15.75" customHeight="1">
      <c r="A212" s="1">
        <v>16.0</v>
      </c>
      <c r="B212" s="1">
        <v>201.0</v>
      </c>
      <c r="C212" s="1" t="s">
        <v>55</v>
      </c>
      <c r="D212" s="1" t="s">
        <v>159</v>
      </c>
      <c r="E212" s="1" t="s">
        <v>57</v>
      </c>
      <c r="F212" s="1" t="s">
        <v>936</v>
      </c>
      <c r="G212" s="1" t="s">
        <v>937</v>
      </c>
      <c r="H212" s="1">
        <v>1.02659290828018</v>
      </c>
      <c r="I212" s="1">
        <v>45.4429884689962</v>
      </c>
      <c r="J212" s="1" t="s">
        <v>33</v>
      </c>
      <c r="K212" s="1" t="s">
        <v>33</v>
      </c>
      <c r="L212" s="1">
        <v>1.1022862639902</v>
      </c>
      <c r="M212" s="1">
        <v>61.3277924647568</v>
      </c>
      <c r="N212" s="1" t="s">
        <v>36</v>
      </c>
    </row>
    <row r="213" ht="15.75" customHeight="1">
      <c r="A213" s="1">
        <v>16.0</v>
      </c>
      <c r="B213" s="1">
        <v>202.0</v>
      </c>
      <c r="C213" s="1" t="s">
        <v>55</v>
      </c>
      <c r="D213" s="1" t="s">
        <v>159</v>
      </c>
      <c r="E213" s="1" t="s">
        <v>57</v>
      </c>
      <c r="F213" s="1" t="s">
        <v>938</v>
      </c>
      <c r="G213" s="1" t="s">
        <v>939</v>
      </c>
      <c r="H213" s="1">
        <v>1.02659290828018</v>
      </c>
      <c r="I213" s="1">
        <v>44.6766216269054</v>
      </c>
      <c r="J213" s="1" t="s">
        <v>33</v>
      </c>
      <c r="K213" s="1" t="s">
        <v>33</v>
      </c>
      <c r="L213" s="1">
        <v>2.10761507334818</v>
      </c>
      <c r="M213" s="1">
        <v>60.5529125024071</v>
      </c>
      <c r="N213" s="1" t="s">
        <v>36</v>
      </c>
    </row>
    <row r="214" ht="15.75" customHeight="1">
      <c r="A214" s="1">
        <v>16.0</v>
      </c>
      <c r="B214" s="1">
        <v>203.0</v>
      </c>
      <c r="C214" s="1" t="s">
        <v>55</v>
      </c>
      <c r="D214" s="1" t="s">
        <v>159</v>
      </c>
      <c r="E214" s="1" t="s">
        <v>57</v>
      </c>
      <c r="F214" s="1" t="s">
        <v>942</v>
      </c>
      <c r="G214" s="1" t="s">
        <v>943</v>
      </c>
      <c r="H214" s="1">
        <v>3.0545759117439</v>
      </c>
      <c r="I214" s="1">
        <v>60.2205444428688</v>
      </c>
      <c r="J214" s="1" t="s">
        <v>33</v>
      </c>
      <c r="K214" s="1" t="s">
        <v>33</v>
      </c>
      <c r="L214" s="1">
        <v>12.7092145329232</v>
      </c>
      <c r="M214" s="1">
        <v>75.9495611844283</v>
      </c>
      <c r="N214" s="1" t="s">
        <v>36</v>
      </c>
    </row>
    <row r="215" ht="15.75" customHeight="1">
      <c r="A215" s="1">
        <v>16.0</v>
      </c>
      <c r="B215" s="1">
        <v>204.0</v>
      </c>
      <c r="C215" s="1" t="s">
        <v>55</v>
      </c>
      <c r="D215" s="1" t="s">
        <v>159</v>
      </c>
      <c r="E215" s="1" t="s">
        <v>57</v>
      </c>
      <c r="F215" s="1" t="s">
        <v>945</v>
      </c>
      <c r="G215" s="1" t="s">
        <v>946</v>
      </c>
      <c r="H215" s="1">
        <v>0.296826549161523</v>
      </c>
      <c r="I215" s="1">
        <v>62.0432287764536</v>
      </c>
      <c r="J215" s="1" t="s">
        <v>33</v>
      </c>
      <c r="K215" s="1" t="s">
        <v>33</v>
      </c>
      <c r="L215" s="1">
        <v>16.5212325546142</v>
      </c>
      <c r="M215" s="1">
        <v>75.7891338650198</v>
      </c>
      <c r="N215" s="1" t="s">
        <v>36</v>
      </c>
    </row>
    <row r="216" ht="15.75" customHeight="1">
      <c r="A216" s="1">
        <v>16.0</v>
      </c>
      <c r="B216" s="1">
        <v>205.0</v>
      </c>
      <c r="C216" s="1" t="s">
        <v>55</v>
      </c>
      <c r="D216" s="1" t="s">
        <v>159</v>
      </c>
      <c r="E216" s="1" t="s">
        <v>57</v>
      </c>
      <c r="F216" s="1" t="s">
        <v>949</v>
      </c>
      <c r="G216" s="1" t="s">
        <v>951</v>
      </c>
      <c r="H216" s="1">
        <v>0.296826549161523</v>
      </c>
      <c r="I216" s="1">
        <v>62.1797306282966</v>
      </c>
      <c r="J216" s="1" t="s">
        <v>33</v>
      </c>
      <c r="K216" s="1" t="s">
        <v>33</v>
      </c>
      <c r="L216" s="1">
        <v>16.7755161651671</v>
      </c>
      <c r="M216" s="1">
        <v>75.6882623939478</v>
      </c>
      <c r="N216" s="1" t="s">
        <v>36</v>
      </c>
    </row>
    <row r="217" ht="15.75" customHeight="1">
      <c r="A217" s="1">
        <v>16.0</v>
      </c>
      <c r="B217" s="1">
        <v>206.0</v>
      </c>
      <c r="C217" s="1" t="s">
        <v>55</v>
      </c>
      <c r="D217" s="1" t="s">
        <v>159</v>
      </c>
      <c r="E217" s="1" t="s">
        <v>57</v>
      </c>
      <c r="F217" s="1" t="s">
        <v>954</v>
      </c>
      <c r="G217" s="1" t="s">
        <v>955</v>
      </c>
      <c r="H217" s="1">
        <v>2.6789867482414</v>
      </c>
      <c r="I217" s="1">
        <v>62.3716755346848</v>
      </c>
      <c r="J217" s="1" t="s">
        <v>33</v>
      </c>
      <c r="K217" s="1" t="s">
        <v>33</v>
      </c>
      <c r="L217" s="1">
        <v>15.5521496140942</v>
      </c>
      <c r="M217" s="1">
        <v>77.9465880017884</v>
      </c>
      <c r="N217" s="1" t="s">
        <v>36</v>
      </c>
    </row>
    <row r="218" ht="15.75" customHeight="1">
      <c r="A218" s="1">
        <v>16.0</v>
      </c>
      <c r="B218" s="1">
        <v>207.0</v>
      </c>
      <c r="C218" s="1" t="s">
        <v>55</v>
      </c>
      <c r="D218" s="1" t="s">
        <v>159</v>
      </c>
      <c r="E218" s="1" t="s">
        <v>57</v>
      </c>
      <c r="F218" s="1" t="s">
        <v>958</v>
      </c>
      <c r="G218" s="1" t="s">
        <v>959</v>
      </c>
      <c r="H218" s="1">
        <v>1.1871920656812</v>
      </c>
      <c r="I218" s="1">
        <v>31.0111531548027</v>
      </c>
      <c r="J218" s="1" t="s">
        <v>33</v>
      </c>
      <c r="K218" s="1" t="s">
        <v>33</v>
      </c>
      <c r="L218" s="1">
        <v>3.55704075481249</v>
      </c>
      <c r="M218" s="1">
        <v>46.8716744500116</v>
      </c>
      <c r="N218" s="1" t="s">
        <v>36</v>
      </c>
    </row>
    <row r="219" ht="15.75" customHeight="1">
      <c r="A219" s="1">
        <v>16.0</v>
      </c>
      <c r="B219" s="1">
        <v>208.0</v>
      </c>
      <c r="C219" s="1" t="s">
        <v>55</v>
      </c>
      <c r="D219" s="1" t="s">
        <v>159</v>
      </c>
      <c r="E219" s="1" t="s">
        <v>57</v>
      </c>
      <c r="F219" s="1" t="s">
        <v>962</v>
      </c>
      <c r="G219" s="1" t="s">
        <v>943</v>
      </c>
      <c r="H219" s="1">
        <v>2.94928618442777</v>
      </c>
      <c r="I219" s="1">
        <v>30.5657611387805</v>
      </c>
      <c r="J219" s="1" t="s">
        <v>33</v>
      </c>
      <c r="K219" s="1" t="s">
        <v>33</v>
      </c>
      <c r="L219" s="1">
        <v>7.29011610139479</v>
      </c>
      <c r="M219" s="1">
        <v>46.4463806993072</v>
      </c>
      <c r="N219" s="1" t="s">
        <v>36</v>
      </c>
    </row>
    <row r="220" ht="15.75" customHeight="1">
      <c r="A220" s="1">
        <v>16.0</v>
      </c>
      <c r="B220" s="1">
        <v>209.0</v>
      </c>
      <c r="C220" s="1" t="s">
        <v>55</v>
      </c>
      <c r="D220" s="1" t="s">
        <v>159</v>
      </c>
      <c r="E220" s="1" t="s">
        <v>57</v>
      </c>
      <c r="F220" s="1" t="s">
        <v>963</v>
      </c>
      <c r="G220" s="1" t="s">
        <v>964</v>
      </c>
      <c r="H220" s="1">
        <v>6.4386104869634</v>
      </c>
      <c r="I220" s="1">
        <v>19.2947179559992</v>
      </c>
      <c r="J220" s="1" t="s">
        <v>33</v>
      </c>
      <c r="K220" s="1" t="s">
        <v>33</v>
      </c>
      <c r="L220" s="1">
        <v>8.65672294801186</v>
      </c>
      <c r="M220" s="1">
        <v>34.546464689966</v>
      </c>
      <c r="N220" s="1" t="s">
        <v>36</v>
      </c>
    </row>
    <row r="221" ht="15.75" customHeight="1">
      <c r="A221" s="1">
        <v>16.0</v>
      </c>
      <c r="B221" s="1">
        <v>210.0</v>
      </c>
      <c r="C221" s="1" t="s">
        <v>55</v>
      </c>
      <c r="D221" s="1" t="s">
        <v>159</v>
      </c>
      <c r="E221" s="1" t="s">
        <v>57</v>
      </c>
      <c r="F221" s="1" t="s">
        <v>967</v>
      </c>
      <c r="G221" s="1" t="s">
        <v>968</v>
      </c>
      <c r="H221" s="1">
        <v>5.00322785765445</v>
      </c>
      <c r="I221" s="1">
        <v>13.7976792250385</v>
      </c>
      <c r="J221" s="1" t="s">
        <v>33</v>
      </c>
      <c r="K221" s="1" t="s">
        <v>33</v>
      </c>
      <c r="L221" s="1">
        <v>2.6656493244528</v>
      </c>
      <c r="M221" s="1">
        <v>29.5833646399815</v>
      </c>
      <c r="N221" s="1" t="s">
        <v>36</v>
      </c>
    </row>
    <row r="222" ht="15.75" customHeight="1">
      <c r="A222" s="1">
        <v>16.0</v>
      </c>
      <c r="B222" s="1">
        <v>211.0</v>
      </c>
      <c r="C222" s="1" t="s">
        <v>55</v>
      </c>
      <c r="D222" s="1" t="s">
        <v>159</v>
      </c>
      <c r="E222" s="1" t="s">
        <v>57</v>
      </c>
      <c r="F222" s="1" t="s">
        <v>970</v>
      </c>
      <c r="G222" s="1" t="s">
        <v>971</v>
      </c>
      <c r="H222" s="1">
        <v>8.85369420086016</v>
      </c>
      <c r="I222" s="1">
        <v>41.6254313731711</v>
      </c>
      <c r="J222" s="1" t="s">
        <v>33</v>
      </c>
      <c r="K222" s="1" t="s">
        <v>33</v>
      </c>
      <c r="L222" s="1">
        <v>10.8107791554543</v>
      </c>
      <c r="M222" s="1">
        <v>57.1647703507169</v>
      </c>
      <c r="N222" s="1" t="s">
        <v>36</v>
      </c>
    </row>
    <row r="223" ht="15.75" customHeight="1">
      <c r="A223" s="1">
        <v>16.0</v>
      </c>
      <c r="B223" s="1">
        <v>212.0</v>
      </c>
      <c r="C223" s="1" t="s">
        <v>55</v>
      </c>
      <c r="D223" s="1" t="s">
        <v>159</v>
      </c>
      <c r="E223" s="1" t="s">
        <v>57</v>
      </c>
      <c r="F223" s="1" t="s">
        <v>975</v>
      </c>
      <c r="G223" s="1" t="s">
        <v>976</v>
      </c>
      <c r="H223" s="1">
        <v>4.7242068117124</v>
      </c>
      <c r="I223" s="1">
        <v>25.4019820095103</v>
      </c>
      <c r="J223" s="1" t="s">
        <v>33</v>
      </c>
      <c r="K223" s="1" t="s">
        <v>33</v>
      </c>
      <c r="L223" s="1">
        <v>14.3313884719644</v>
      </c>
      <c r="M223" s="1">
        <v>40.1912676643477</v>
      </c>
      <c r="N223" s="1" t="s">
        <v>36</v>
      </c>
    </row>
    <row r="224" ht="15.75" customHeight="1">
      <c r="A224" s="1">
        <v>16.0</v>
      </c>
      <c r="B224" s="1">
        <v>213.0</v>
      </c>
      <c r="C224" s="1" t="s">
        <v>55</v>
      </c>
      <c r="D224" s="1" t="s">
        <v>159</v>
      </c>
      <c r="E224" s="1" t="s">
        <v>57</v>
      </c>
      <c r="F224" s="1" t="s">
        <v>980</v>
      </c>
      <c r="G224" s="1" t="s">
        <v>982</v>
      </c>
      <c r="H224" s="1">
        <v>4.7242068117124</v>
      </c>
      <c r="I224" s="1">
        <v>28.0378857976881</v>
      </c>
      <c r="J224" s="1" t="s">
        <v>33</v>
      </c>
      <c r="K224" s="1" t="s">
        <v>33</v>
      </c>
      <c r="L224" s="1">
        <v>13.1406147555635</v>
      </c>
      <c r="M224" s="1">
        <v>43.3823817180598</v>
      </c>
      <c r="N224" s="1" t="s">
        <v>36</v>
      </c>
    </row>
    <row r="225" ht="15.75" customHeight="1">
      <c r="A225" s="1">
        <v>17.0</v>
      </c>
      <c r="B225" s="1">
        <v>98.0</v>
      </c>
      <c r="C225" s="1" t="s">
        <v>55</v>
      </c>
      <c r="D225" s="1" t="s">
        <v>163</v>
      </c>
      <c r="E225" s="1" t="s">
        <v>57</v>
      </c>
      <c r="F225" s="1" t="s">
        <v>987</v>
      </c>
      <c r="G225" s="1" t="s">
        <v>988</v>
      </c>
      <c r="H225" s="1">
        <v>1.95779134740602</v>
      </c>
      <c r="I225" s="1" t="s">
        <v>33</v>
      </c>
      <c r="J225" s="1" t="s">
        <v>33</v>
      </c>
      <c r="K225" s="1" t="s">
        <v>33</v>
      </c>
      <c r="L225" s="1">
        <v>6.09903899532318</v>
      </c>
      <c r="M225" s="1">
        <v>66.005561653446</v>
      </c>
      <c r="N225" s="1" t="s">
        <v>36</v>
      </c>
    </row>
    <row r="226" ht="15.75" customHeight="1">
      <c r="A226" s="1">
        <v>17.0</v>
      </c>
      <c r="B226" s="1">
        <v>603.0</v>
      </c>
      <c r="C226" s="1" t="s">
        <v>55</v>
      </c>
      <c r="D226" s="1" t="s">
        <v>163</v>
      </c>
      <c r="E226" s="1" t="s">
        <v>57</v>
      </c>
      <c r="F226" s="1" t="s">
        <v>990</v>
      </c>
      <c r="G226" s="1" t="s">
        <v>991</v>
      </c>
      <c r="H226" s="1">
        <v>5.30634257622863</v>
      </c>
      <c r="I226" s="1" t="s">
        <v>33</v>
      </c>
      <c r="J226" s="1" t="s">
        <v>33</v>
      </c>
      <c r="K226" s="1" t="s">
        <v>33</v>
      </c>
      <c r="L226" s="1">
        <v>27.5569779912365</v>
      </c>
      <c r="M226" s="1">
        <v>41.7406839616246</v>
      </c>
      <c r="N226" s="1" t="s">
        <v>36</v>
      </c>
    </row>
    <row r="227" ht="15.75" customHeight="1">
      <c r="A227" s="1">
        <v>17.0</v>
      </c>
      <c r="B227" s="1">
        <v>604.0</v>
      </c>
      <c r="C227" s="1" t="s">
        <v>55</v>
      </c>
      <c r="D227" s="1" t="s">
        <v>163</v>
      </c>
      <c r="E227" s="1" t="s">
        <v>57</v>
      </c>
      <c r="F227" s="1" t="s">
        <v>994</v>
      </c>
      <c r="G227" s="1" t="s">
        <v>996</v>
      </c>
      <c r="H227" s="1">
        <v>7.69130044830109</v>
      </c>
      <c r="I227" s="1" t="s">
        <v>33</v>
      </c>
      <c r="J227" s="1" t="s">
        <v>33</v>
      </c>
      <c r="K227" s="1" t="s">
        <v>33</v>
      </c>
      <c r="L227" s="1">
        <v>20.0799567221897</v>
      </c>
      <c r="M227" s="1">
        <v>41.8276585027582</v>
      </c>
      <c r="N227" s="1" t="s">
        <v>36</v>
      </c>
    </row>
    <row r="228" ht="15.75" customHeight="1">
      <c r="A228" s="1">
        <v>17.0</v>
      </c>
      <c r="B228" s="1">
        <v>605.0</v>
      </c>
      <c r="C228" s="1" t="s">
        <v>55</v>
      </c>
      <c r="D228" s="1" t="s">
        <v>163</v>
      </c>
      <c r="E228" s="1" t="s">
        <v>57</v>
      </c>
      <c r="F228" s="1" t="s">
        <v>1001</v>
      </c>
      <c r="G228" s="1" t="s">
        <v>1002</v>
      </c>
      <c r="H228" s="1">
        <v>7.02055135800562</v>
      </c>
      <c r="I228" s="1" t="s">
        <v>33</v>
      </c>
      <c r="J228" s="1" t="s">
        <v>33</v>
      </c>
      <c r="K228" s="1" t="s">
        <v>33</v>
      </c>
      <c r="L228" s="1">
        <v>12.0369195011199</v>
      </c>
      <c r="M228" s="1">
        <v>43.6537542392682</v>
      </c>
      <c r="N228" s="1" t="s">
        <v>36</v>
      </c>
    </row>
    <row r="229" ht="15.75" customHeight="1">
      <c r="A229" s="1">
        <v>17.0</v>
      </c>
      <c r="B229" s="1">
        <v>605.0</v>
      </c>
      <c r="C229" s="1" t="s">
        <v>55</v>
      </c>
      <c r="D229" s="1" t="s">
        <v>163</v>
      </c>
      <c r="E229" s="1" t="s">
        <v>57</v>
      </c>
      <c r="F229" s="1" t="s">
        <v>1005</v>
      </c>
      <c r="G229" s="1" t="s">
        <v>1006</v>
      </c>
      <c r="H229" s="1">
        <v>7.02055135800562</v>
      </c>
      <c r="I229" s="1" t="s">
        <v>33</v>
      </c>
      <c r="J229" s="1" t="s">
        <v>33</v>
      </c>
      <c r="K229" s="1" t="s">
        <v>33</v>
      </c>
      <c r="L229" s="1">
        <v>10.4302634076227</v>
      </c>
      <c r="M229" s="1">
        <v>50.175332400532</v>
      </c>
      <c r="N229" s="1" t="s">
        <v>36</v>
      </c>
    </row>
    <row r="230" ht="15.75" customHeight="1">
      <c r="A230" s="1">
        <v>17.0</v>
      </c>
      <c r="B230" s="1">
        <v>606.0</v>
      </c>
      <c r="C230" s="1" t="s">
        <v>55</v>
      </c>
      <c r="D230" s="1" t="s">
        <v>163</v>
      </c>
      <c r="E230" s="1" t="s">
        <v>57</v>
      </c>
      <c r="F230" s="1" t="s">
        <v>1008</v>
      </c>
      <c r="G230" s="1" t="s">
        <v>1010</v>
      </c>
      <c r="H230" s="1">
        <v>7.13732529483969</v>
      </c>
      <c r="I230" s="1" t="s">
        <v>33</v>
      </c>
      <c r="J230" s="1" t="s">
        <v>33</v>
      </c>
      <c r="K230" s="1" t="s">
        <v>33</v>
      </c>
      <c r="L230" s="1">
        <v>9.80210290348826</v>
      </c>
      <c r="M230" s="1">
        <v>57.1139483848252</v>
      </c>
      <c r="N230" s="1" t="s">
        <v>36</v>
      </c>
    </row>
    <row r="231" ht="15.75" customHeight="1">
      <c r="A231" s="1">
        <v>17.0</v>
      </c>
      <c r="B231" s="1">
        <v>607.0</v>
      </c>
      <c r="C231" s="1" t="s">
        <v>55</v>
      </c>
      <c r="D231" s="1" t="s">
        <v>163</v>
      </c>
      <c r="E231" s="1" t="s">
        <v>57</v>
      </c>
      <c r="F231" s="1" t="s">
        <v>1013</v>
      </c>
      <c r="G231" s="1" t="s">
        <v>1014</v>
      </c>
      <c r="H231" s="1">
        <v>1.95779134740602</v>
      </c>
      <c r="I231" s="1" t="s">
        <v>33</v>
      </c>
      <c r="J231" s="1" t="s">
        <v>33</v>
      </c>
      <c r="K231" s="1" t="s">
        <v>33</v>
      </c>
      <c r="L231" s="1">
        <v>7.60034094977011</v>
      </c>
      <c r="M231" s="1">
        <v>64.5160764561129</v>
      </c>
      <c r="N231" s="1" t="s">
        <v>36</v>
      </c>
    </row>
    <row r="232" ht="15.75" customHeight="1">
      <c r="A232" s="1">
        <v>17.0</v>
      </c>
      <c r="B232" s="1">
        <v>608.0</v>
      </c>
      <c r="C232" s="1" t="s">
        <v>55</v>
      </c>
      <c r="D232" s="1" t="s">
        <v>163</v>
      </c>
      <c r="E232" s="1" t="s">
        <v>57</v>
      </c>
      <c r="F232" s="1" t="s">
        <v>1016</v>
      </c>
      <c r="G232" s="1" t="s">
        <v>1018</v>
      </c>
      <c r="H232" s="1">
        <v>8.19852417583342</v>
      </c>
      <c r="I232" s="1" t="s">
        <v>33</v>
      </c>
      <c r="J232" s="1" t="s">
        <v>33</v>
      </c>
      <c r="K232" s="1" t="s">
        <v>33</v>
      </c>
      <c r="L232" s="1">
        <v>20.6289156445608</v>
      </c>
      <c r="M232" s="1">
        <v>49.9236930764674</v>
      </c>
      <c r="N232" s="1" t="s">
        <v>36</v>
      </c>
    </row>
    <row r="233" ht="15.75" customHeight="1">
      <c r="A233" s="1">
        <v>17.0</v>
      </c>
      <c r="B233" s="1">
        <v>609.0</v>
      </c>
      <c r="C233" s="1" t="s">
        <v>55</v>
      </c>
      <c r="D233" s="1" t="s">
        <v>163</v>
      </c>
      <c r="E233" s="1" t="s">
        <v>57</v>
      </c>
      <c r="F233" s="1" t="s">
        <v>1022</v>
      </c>
      <c r="G233" s="1" t="s">
        <v>1023</v>
      </c>
      <c r="H233" s="1">
        <v>7.53179001455739</v>
      </c>
      <c r="I233" s="1" t="s">
        <v>33</v>
      </c>
      <c r="J233" s="1" t="s">
        <v>33</v>
      </c>
      <c r="K233" s="1" t="s">
        <v>33</v>
      </c>
      <c r="L233" s="1">
        <v>18.2880836813979</v>
      </c>
      <c r="M233" s="1">
        <v>57.5432773994471</v>
      </c>
      <c r="N233" s="1" t="s">
        <v>36</v>
      </c>
    </row>
    <row r="234" ht="15.75" customHeight="1">
      <c r="A234" s="1">
        <v>17.0</v>
      </c>
      <c r="B234" s="1">
        <v>610.0</v>
      </c>
      <c r="C234" s="1" t="s">
        <v>55</v>
      </c>
      <c r="D234" s="1" t="s">
        <v>163</v>
      </c>
      <c r="E234" s="1" t="s">
        <v>57</v>
      </c>
      <c r="F234" s="1" t="s">
        <v>1027</v>
      </c>
      <c r="G234" s="1" t="s">
        <v>1029</v>
      </c>
      <c r="H234" s="1">
        <v>8.34530049998593</v>
      </c>
      <c r="I234" s="1" t="s">
        <v>33</v>
      </c>
      <c r="J234" s="1" t="s">
        <v>33</v>
      </c>
      <c r="K234" s="1" t="s">
        <v>33</v>
      </c>
      <c r="L234" s="1">
        <v>14.7511185919512</v>
      </c>
      <c r="M234" s="1">
        <v>67.5649769309014</v>
      </c>
      <c r="N234" s="1" t="s">
        <v>36</v>
      </c>
    </row>
    <row r="235" ht="15.75" customHeight="1">
      <c r="A235" s="1">
        <v>17.0</v>
      </c>
      <c r="B235" s="1">
        <v>591.0</v>
      </c>
      <c r="C235" s="1" t="s">
        <v>55</v>
      </c>
      <c r="D235" s="1" t="s">
        <v>163</v>
      </c>
      <c r="E235" s="1" t="s">
        <v>57</v>
      </c>
      <c r="F235" s="1" t="s">
        <v>1032</v>
      </c>
      <c r="G235" s="1" t="s">
        <v>1033</v>
      </c>
      <c r="H235" s="1">
        <v>5.30634257622863</v>
      </c>
      <c r="I235" s="1" t="s">
        <v>33</v>
      </c>
      <c r="J235" s="1" t="s">
        <v>33</v>
      </c>
      <c r="K235" s="1" t="s">
        <v>33</v>
      </c>
      <c r="L235" s="1">
        <v>27.9688492720206</v>
      </c>
      <c r="M235" s="1">
        <v>46.9893325039773</v>
      </c>
      <c r="N235" s="1" t="s">
        <v>36</v>
      </c>
    </row>
    <row r="236" ht="15.75" customHeight="1">
      <c r="A236" s="1">
        <v>17.0</v>
      </c>
      <c r="B236" s="1">
        <v>590.0</v>
      </c>
      <c r="C236" s="1" t="s">
        <v>55</v>
      </c>
      <c r="D236" s="1" t="s">
        <v>163</v>
      </c>
      <c r="E236" s="1" t="s">
        <v>57</v>
      </c>
      <c r="F236" s="1" t="s">
        <v>1035</v>
      </c>
      <c r="G236" s="1" t="s">
        <v>1036</v>
      </c>
      <c r="H236" s="1">
        <v>7.55576030926888</v>
      </c>
      <c r="I236" s="1" t="s">
        <v>33</v>
      </c>
      <c r="J236" s="1" t="s">
        <v>33</v>
      </c>
      <c r="K236" s="1" t="s">
        <v>33</v>
      </c>
      <c r="L236" s="1">
        <v>28.4873442742027</v>
      </c>
      <c r="M236" s="1">
        <v>54.4526146262851</v>
      </c>
      <c r="N236" s="1" t="s">
        <v>36</v>
      </c>
    </row>
    <row r="237" ht="15.75" customHeight="1">
      <c r="A237" s="1">
        <v>17.0</v>
      </c>
      <c r="B237" s="1">
        <v>589.0</v>
      </c>
      <c r="C237" s="1" t="s">
        <v>55</v>
      </c>
      <c r="D237" s="1" t="s">
        <v>163</v>
      </c>
      <c r="E237" s="1" t="s">
        <v>57</v>
      </c>
      <c r="F237" s="1" t="s">
        <v>1039</v>
      </c>
      <c r="G237" s="1" t="s">
        <v>1040</v>
      </c>
      <c r="H237" s="1">
        <v>7.53179001455739</v>
      </c>
      <c r="I237" s="1" t="s">
        <v>33</v>
      </c>
      <c r="J237" s="1" t="s">
        <v>33</v>
      </c>
      <c r="K237" s="1" t="s">
        <v>33</v>
      </c>
      <c r="L237" s="1">
        <v>23.3296728929292</v>
      </c>
      <c r="M237" s="1">
        <v>63.2773057705039</v>
      </c>
      <c r="N237" s="1" t="s">
        <v>36</v>
      </c>
    </row>
    <row r="238" ht="15.75" customHeight="1">
      <c r="A238" s="1">
        <v>18.0</v>
      </c>
      <c r="B238" s="1">
        <v>384.0</v>
      </c>
      <c r="C238" s="1" t="s">
        <v>179</v>
      </c>
      <c r="D238" s="1" t="s">
        <v>1042</v>
      </c>
      <c r="E238" s="1" t="s">
        <v>57</v>
      </c>
      <c r="F238" s="1" t="s">
        <v>1044</v>
      </c>
      <c r="G238" s="1" t="s">
        <v>1045</v>
      </c>
      <c r="H238" s="1">
        <v>8.92600059913061</v>
      </c>
      <c r="I238" s="1">
        <v>11.2622745926483</v>
      </c>
      <c r="J238" s="1">
        <v>10.104198434208</v>
      </c>
      <c r="K238" s="1">
        <v>17.6316968267657</v>
      </c>
      <c r="L238" s="1">
        <v>28.9132516917644</v>
      </c>
      <c r="M238" s="1">
        <v>51.405259807711</v>
      </c>
      <c r="N238" s="1" t="s">
        <v>36</v>
      </c>
    </row>
    <row r="239" ht="15.75" customHeight="1">
      <c r="A239" s="1">
        <v>18.0</v>
      </c>
      <c r="B239" s="1">
        <v>385.0</v>
      </c>
      <c r="C239" s="1" t="s">
        <v>89</v>
      </c>
      <c r="D239" s="1" t="s">
        <v>1042</v>
      </c>
      <c r="E239" s="1" t="s">
        <v>57</v>
      </c>
      <c r="F239" s="1" t="s">
        <v>1048</v>
      </c>
      <c r="G239" s="1" t="s">
        <v>1049</v>
      </c>
      <c r="H239" s="1">
        <v>0.0</v>
      </c>
      <c r="I239" s="1">
        <v>3.8013505499148</v>
      </c>
      <c r="J239" s="1" t="s">
        <v>33</v>
      </c>
      <c r="K239" s="1">
        <v>10.104198434208</v>
      </c>
      <c r="L239" s="1">
        <v>20.2170246155721</v>
      </c>
      <c r="M239" s="1">
        <v>42.7509117770336</v>
      </c>
      <c r="N239" s="1" t="s">
        <v>36</v>
      </c>
    </row>
    <row r="240" ht="15.75" customHeight="1">
      <c r="A240" s="1">
        <v>18.0</v>
      </c>
      <c r="B240" s="1">
        <v>386.0</v>
      </c>
      <c r="C240" s="1" t="s">
        <v>55</v>
      </c>
      <c r="D240" s="1" t="s">
        <v>1042</v>
      </c>
      <c r="E240" s="1" t="s">
        <v>57</v>
      </c>
      <c r="F240" s="1" t="s">
        <v>1048</v>
      </c>
      <c r="G240" s="1" t="s">
        <v>1049</v>
      </c>
      <c r="H240" s="1">
        <v>6.78410391725275</v>
      </c>
      <c r="I240" s="1">
        <v>3.8013505499148</v>
      </c>
      <c r="J240" s="1">
        <v>0.0</v>
      </c>
      <c r="K240" s="1">
        <v>10.104198434208</v>
      </c>
      <c r="L240" s="1">
        <v>20.2170246155721</v>
      </c>
      <c r="M240" s="1">
        <v>42.7509117770336</v>
      </c>
      <c r="N240" s="1" t="s">
        <v>36</v>
      </c>
    </row>
    <row r="241" ht="15.75" customHeight="1">
      <c r="A241" s="1">
        <v>18.0</v>
      </c>
      <c r="B241" s="1">
        <v>387.0</v>
      </c>
      <c r="C241" s="1" t="s">
        <v>179</v>
      </c>
      <c r="D241" s="1" t="s">
        <v>1042</v>
      </c>
      <c r="E241" s="1" t="s">
        <v>57</v>
      </c>
      <c r="F241" s="1" t="s">
        <v>1052</v>
      </c>
      <c r="G241" s="1" t="s">
        <v>1054</v>
      </c>
      <c r="H241" s="1">
        <v>7.82028286325214</v>
      </c>
      <c r="I241" s="1">
        <v>14.4520271930835</v>
      </c>
      <c r="J241" s="1">
        <v>20.2217156785821</v>
      </c>
      <c r="K241" s="1">
        <v>17.6316968267657</v>
      </c>
      <c r="L241" s="1">
        <v>37.7178879495943</v>
      </c>
      <c r="M241" s="1">
        <v>60.168051010242</v>
      </c>
      <c r="N241" s="1" t="s">
        <v>36</v>
      </c>
    </row>
    <row r="242" ht="15.75" customHeight="1">
      <c r="A242" s="1">
        <v>18.0</v>
      </c>
      <c r="B242" s="1">
        <v>388.0</v>
      </c>
      <c r="C242" s="1" t="s">
        <v>179</v>
      </c>
      <c r="D242" s="1" t="s">
        <v>1042</v>
      </c>
      <c r="E242" s="1" t="s">
        <v>57</v>
      </c>
      <c r="F242" s="1" t="s">
        <v>1052</v>
      </c>
      <c r="G242" s="1" t="s">
        <v>1054</v>
      </c>
      <c r="H242" s="1">
        <v>7.82028286325214</v>
      </c>
      <c r="I242" s="1">
        <v>14.4520271930835</v>
      </c>
      <c r="J242" s="1">
        <v>20.2217156785821</v>
      </c>
      <c r="K242" s="1">
        <v>17.6316968267657</v>
      </c>
      <c r="L242" s="1">
        <v>37.7178879495943</v>
      </c>
      <c r="M242" s="1">
        <v>60.168051010242</v>
      </c>
      <c r="N242" s="1" t="s">
        <v>36</v>
      </c>
    </row>
    <row r="243" ht="15.75" customHeight="1">
      <c r="A243" s="1">
        <v>18.0</v>
      </c>
      <c r="B243" s="1">
        <v>389.0</v>
      </c>
      <c r="C243" s="1" t="s">
        <v>179</v>
      </c>
      <c r="D243" s="1" t="s">
        <v>1042</v>
      </c>
      <c r="E243" s="1" t="s">
        <v>57</v>
      </c>
      <c r="F243" s="1" t="s">
        <v>1052</v>
      </c>
      <c r="G243" s="1" t="s">
        <v>1054</v>
      </c>
      <c r="H243" s="1">
        <v>7.82028286325214</v>
      </c>
      <c r="I243" s="1">
        <v>14.4520271930835</v>
      </c>
      <c r="J243" s="1">
        <v>20.2217156785821</v>
      </c>
      <c r="K243" s="1">
        <v>17.6316968267657</v>
      </c>
      <c r="L243" s="1">
        <v>37.7178879495943</v>
      </c>
      <c r="M243" s="1">
        <v>60.168051010242</v>
      </c>
      <c r="N243" s="1" t="s">
        <v>36</v>
      </c>
    </row>
    <row r="244" ht="15.75" customHeight="1">
      <c r="A244" s="1">
        <v>18.0</v>
      </c>
      <c r="B244" s="1">
        <v>390.0</v>
      </c>
      <c r="C244" s="1" t="s">
        <v>74</v>
      </c>
      <c r="D244" s="1" t="s">
        <v>1042</v>
      </c>
      <c r="E244" s="1" t="s">
        <v>57</v>
      </c>
      <c r="F244" s="1" t="s">
        <v>1058</v>
      </c>
      <c r="G244" s="1" t="s">
        <v>1059</v>
      </c>
      <c r="H244" s="1">
        <v>4.87134413465177</v>
      </c>
      <c r="I244" s="1">
        <v>38.0345205566221</v>
      </c>
      <c r="J244" s="1">
        <v>41.6331923350791</v>
      </c>
      <c r="K244" s="1">
        <v>29.1608737865545</v>
      </c>
      <c r="L244" s="1">
        <v>20.5540002884043</v>
      </c>
      <c r="M244" s="1">
        <v>1.91307504831126</v>
      </c>
      <c r="N244" s="1" t="s">
        <v>36</v>
      </c>
    </row>
    <row r="245" ht="15.75" customHeight="1">
      <c r="A245" s="1">
        <v>18.0</v>
      </c>
      <c r="B245" s="1">
        <v>391.0</v>
      </c>
      <c r="C245" s="1" t="s">
        <v>74</v>
      </c>
      <c r="D245" s="1" t="s">
        <v>1042</v>
      </c>
      <c r="E245" s="1" t="s">
        <v>57</v>
      </c>
      <c r="F245" s="1" t="s">
        <v>1062</v>
      </c>
      <c r="G245" s="1" t="s">
        <v>1063</v>
      </c>
      <c r="H245" s="1">
        <v>3.8013505499148</v>
      </c>
      <c r="I245" s="1">
        <v>10.0573842030516</v>
      </c>
      <c r="J245" s="1">
        <v>3.8013505499148</v>
      </c>
      <c r="K245" s="1">
        <v>12.4376747026777</v>
      </c>
      <c r="L245" s="1">
        <v>16.9121938898187</v>
      </c>
      <c r="M245" s="1">
        <v>39.4310029933873</v>
      </c>
      <c r="N245" s="1" t="s">
        <v>36</v>
      </c>
    </row>
    <row r="246" ht="15.75" customHeight="1">
      <c r="A246" s="1">
        <v>18.0</v>
      </c>
      <c r="B246" s="1">
        <v>392.0</v>
      </c>
      <c r="C246" s="1" t="s">
        <v>89</v>
      </c>
      <c r="D246" s="1" t="s">
        <v>1042</v>
      </c>
      <c r="E246" s="1" t="s">
        <v>57</v>
      </c>
      <c r="F246" s="1" t="s">
        <v>1048</v>
      </c>
      <c r="G246" s="1" t="s">
        <v>1049</v>
      </c>
      <c r="H246" s="1">
        <v>0.0</v>
      </c>
      <c r="I246" s="1">
        <v>3.8013505499148</v>
      </c>
      <c r="J246" s="1" t="s">
        <v>33</v>
      </c>
      <c r="K246" s="1">
        <v>10.104198434208</v>
      </c>
      <c r="L246" s="1">
        <v>20.2170246155721</v>
      </c>
      <c r="M246" s="1">
        <v>42.7509117770336</v>
      </c>
      <c r="N246" s="1" t="s">
        <v>36</v>
      </c>
    </row>
    <row r="247" ht="15.75" customHeight="1">
      <c r="A247" s="1">
        <v>18.0</v>
      </c>
      <c r="B247" s="1">
        <v>393.0</v>
      </c>
      <c r="C247" s="1" t="s">
        <v>74</v>
      </c>
      <c r="D247" s="1" t="s">
        <v>1042</v>
      </c>
      <c r="E247" s="1" t="s">
        <v>57</v>
      </c>
      <c r="F247" s="1" t="s">
        <v>1065</v>
      </c>
      <c r="G247" s="1" t="s">
        <v>1066</v>
      </c>
      <c r="H247" s="1">
        <v>6.43800318425455</v>
      </c>
      <c r="I247" s="1">
        <v>10.0573842030516</v>
      </c>
      <c r="J247" s="1">
        <v>6.43800318425455</v>
      </c>
      <c r="K247" s="1">
        <v>11.2622745926483</v>
      </c>
      <c r="L247" s="1">
        <v>24.1794539297933</v>
      </c>
      <c r="M247" s="1">
        <v>46.7542341215479</v>
      </c>
      <c r="N247" s="1" t="s">
        <v>36</v>
      </c>
    </row>
    <row r="248" ht="15.75" customHeight="1">
      <c r="A248" s="1">
        <v>18.0</v>
      </c>
      <c r="B248" s="1">
        <v>394.0</v>
      </c>
      <c r="C248" s="1" t="s">
        <v>74</v>
      </c>
      <c r="D248" s="1" t="s">
        <v>1042</v>
      </c>
      <c r="E248" s="1" t="s">
        <v>57</v>
      </c>
      <c r="F248" s="1" t="s">
        <v>1068</v>
      </c>
      <c r="G248" s="1" t="s">
        <v>1070</v>
      </c>
      <c r="H248" s="1">
        <v>17.5209860879903</v>
      </c>
      <c r="I248" s="1">
        <v>11.2611902120899</v>
      </c>
      <c r="J248" s="1">
        <v>58.8000794983408</v>
      </c>
      <c r="K248" s="1">
        <v>58.3813041989117</v>
      </c>
      <c r="L248" s="1">
        <v>3.52082234121785</v>
      </c>
      <c r="M248" s="1">
        <v>20.7144299559217</v>
      </c>
      <c r="N248" s="1" t="s">
        <v>36</v>
      </c>
    </row>
    <row r="249" ht="15.75" customHeight="1">
      <c r="A249" s="1">
        <v>18.0</v>
      </c>
      <c r="B249" s="1">
        <v>395.0</v>
      </c>
      <c r="C249" s="1" t="s">
        <v>74</v>
      </c>
      <c r="D249" s="1" t="s">
        <v>1042</v>
      </c>
      <c r="E249" s="1" t="s">
        <v>57</v>
      </c>
      <c r="F249" s="1" t="s">
        <v>1073</v>
      </c>
      <c r="G249" s="1" t="s">
        <v>1074</v>
      </c>
      <c r="H249" s="1">
        <v>7.63410812710039</v>
      </c>
      <c r="I249" s="1">
        <v>11.2611902120899</v>
      </c>
      <c r="J249" s="1">
        <v>49.9054434104673</v>
      </c>
      <c r="K249" s="1">
        <v>47.5596466028317</v>
      </c>
      <c r="L249" s="1">
        <v>11.7103354159176</v>
      </c>
      <c r="M249" s="1">
        <v>30.1555476525805</v>
      </c>
      <c r="N249" s="1" t="s">
        <v>36</v>
      </c>
    </row>
    <row r="250" ht="15.75" customHeight="1">
      <c r="A250" s="1">
        <v>18.0</v>
      </c>
      <c r="B250" s="1">
        <v>592.0</v>
      </c>
      <c r="C250" s="1" t="s">
        <v>55</v>
      </c>
      <c r="D250" s="1" t="s">
        <v>1042</v>
      </c>
      <c r="E250" s="1" t="s">
        <v>57</v>
      </c>
      <c r="F250" s="1" t="s">
        <v>1076</v>
      </c>
      <c r="G250" s="1" t="s">
        <v>1077</v>
      </c>
      <c r="H250" s="1">
        <v>11.0539979936099</v>
      </c>
      <c r="I250" s="1">
        <v>4.87134413465177</v>
      </c>
      <c r="J250" s="1">
        <v>42.2254526829459</v>
      </c>
      <c r="K250" s="1">
        <v>25.052495016257</v>
      </c>
      <c r="L250" s="1">
        <v>19.8748189978777</v>
      </c>
      <c r="M250" s="1">
        <v>2.55323591428982</v>
      </c>
      <c r="N250" s="1" t="s">
        <v>36</v>
      </c>
    </row>
    <row r="251" ht="15.75" customHeight="1">
      <c r="A251" s="1">
        <v>18.0</v>
      </c>
      <c r="B251" s="1">
        <v>593.0</v>
      </c>
      <c r="C251" s="1" t="s">
        <v>55</v>
      </c>
      <c r="D251" s="1" t="s">
        <v>1042</v>
      </c>
      <c r="E251" s="1" t="s">
        <v>57</v>
      </c>
      <c r="F251" s="1" t="s">
        <v>1078</v>
      </c>
      <c r="G251" s="1" t="s">
        <v>1079</v>
      </c>
      <c r="H251" s="1">
        <v>11.0539979936099</v>
      </c>
      <c r="I251" s="1">
        <v>6.53198681747472</v>
      </c>
      <c r="J251" s="1">
        <v>38.5282447827328</v>
      </c>
      <c r="K251" s="1">
        <v>33.0395151250776</v>
      </c>
      <c r="L251" s="1">
        <v>18.2413053153629</v>
      </c>
      <c r="M251" s="1">
        <v>4.27508223633666</v>
      </c>
      <c r="N251" s="1" t="s">
        <v>36</v>
      </c>
    </row>
    <row r="252" ht="15.75" customHeight="1">
      <c r="A252" s="1">
        <v>18.0</v>
      </c>
      <c r="B252" s="1">
        <v>594.0</v>
      </c>
      <c r="C252" s="1" t="s">
        <v>55</v>
      </c>
      <c r="D252" s="1" t="s">
        <v>1042</v>
      </c>
      <c r="E252" s="1" t="s">
        <v>57</v>
      </c>
      <c r="F252" s="1" t="s">
        <v>1084</v>
      </c>
      <c r="G252" s="1" t="s">
        <v>1085</v>
      </c>
      <c r="H252" s="1">
        <v>6.78097333663866</v>
      </c>
      <c r="I252" s="1">
        <v>15.6260201982166</v>
      </c>
      <c r="J252" s="1">
        <v>18.7026509265971</v>
      </c>
      <c r="K252" s="1">
        <v>20.5447833196049</v>
      </c>
      <c r="L252" s="1">
        <v>11.4379299961191</v>
      </c>
      <c r="M252" s="1">
        <v>33.8385938248051</v>
      </c>
      <c r="N252" s="1" t="s">
        <v>36</v>
      </c>
    </row>
    <row r="253" ht="15.75" customHeight="1">
      <c r="A253" s="1">
        <v>18.0</v>
      </c>
      <c r="B253" s="1">
        <v>595.0</v>
      </c>
      <c r="C253" s="1" t="s">
        <v>55</v>
      </c>
      <c r="D253" s="1" t="s">
        <v>1042</v>
      </c>
      <c r="E253" s="1" t="s">
        <v>57</v>
      </c>
      <c r="F253" s="1" t="s">
        <v>1087</v>
      </c>
      <c r="G253" s="1" t="s">
        <v>1088</v>
      </c>
      <c r="H253" s="1">
        <v>6.78097333663866</v>
      </c>
      <c r="I253" s="1">
        <v>12.0900805779222</v>
      </c>
      <c r="J253" s="1">
        <v>15.7848325222826</v>
      </c>
      <c r="K253" s="1">
        <v>21.1975418797049</v>
      </c>
      <c r="L253" s="1">
        <v>8.39180035617758</v>
      </c>
      <c r="M253" s="1">
        <v>30.8415424884735</v>
      </c>
      <c r="N253" s="1" t="s">
        <v>36</v>
      </c>
    </row>
    <row r="254" ht="15.75" customHeight="1">
      <c r="A254" s="1">
        <v>18.0</v>
      </c>
      <c r="B254" s="1">
        <v>596.0</v>
      </c>
      <c r="C254" s="1" t="s">
        <v>55</v>
      </c>
      <c r="D254" s="1" t="s">
        <v>1042</v>
      </c>
      <c r="E254" s="1" t="s">
        <v>57</v>
      </c>
      <c r="F254" s="1" t="s">
        <v>1092</v>
      </c>
      <c r="G254" s="1" t="s">
        <v>1093</v>
      </c>
      <c r="H254" s="1">
        <v>6.41691363332692</v>
      </c>
      <c r="I254" s="1">
        <v>5.87142592436135</v>
      </c>
      <c r="J254" s="1">
        <v>6.78410391725275</v>
      </c>
      <c r="K254" s="1">
        <v>8.92600059913061</v>
      </c>
      <c r="L254" s="1">
        <v>20.1389644065745</v>
      </c>
      <c r="M254" s="1">
        <v>42.618010955763</v>
      </c>
      <c r="N254" s="1" t="s">
        <v>36</v>
      </c>
    </row>
    <row r="255" ht="15.75" customHeight="1">
      <c r="A255" s="1">
        <v>18.0</v>
      </c>
      <c r="B255" s="1">
        <v>597.0</v>
      </c>
      <c r="C255" s="1" t="s">
        <v>55</v>
      </c>
      <c r="D255" s="1" t="s">
        <v>1042</v>
      </c>
      <c r="E255" s="1" t="s">
        <v>57</v>
      </c>
      <c r="F255" s="1" t="s">
        <v>1096</v>
      </c>
      <c r="G255" s="1" t="s">
        <v>1097</v>
      </c>
      <c r="H255" s="1">
        <v>16.6301304172055</v>
      </c>
      <c r="I255" s="1">
        <v>7.63410812710039</v>
      </c>
      <c r="J255" s="1">
        <v>42.2855555576136</v>
      </c>
      <c r="K255" s="1">
        <v>40.9054867146611</v>
      </c>
      <c r="L255" s="1">
        <v>12.4458012527962</v>
      </c>
      <c r="M255" s="1">
        <v>31.7579357026104</v>
      </c>
      <c r="N255" s="1" t="s">
        <v>36</v>
      </c>
    </row>
    <row r="256" ht="15.75" customHeight="1">
      <c r="A256" s="1">
        <v>18.0</v>
      </c>
      <c r="B256" s="1">
        <v>598.0</v>
      </c>
      <c r="C256" s="1" t="s">
        <v>55</v>
      </c>
      <c r="D256" s="1" t="s">
        <v>1042</v>
      </c>
      <c r="E256" s="1" t="s">
        <v>57</v>
      </c>
      <c r="F256" s="1" t="s">
        <v>1098</v>
      </c>
      <c r="G256" s="1" t="s">
        <v>1099</v>
      </c>
      <c r="H256" s="1">
        <v>8.74731090058461</v>
      </c>
      <c r="I256" s="1">
        <v>12.4331369712144</v>
      </c>
      <c r="J256" s="1">
        <v>18.8702022292292</v>
      </c>
      <c r="K256" s="1">
        <v>7.82028286325214</v>
      </c>
      <c r="L256" s="1">
        <v>31.6239843040166</v>
      </c>
      <c r="M256" s="1">
        <v>53.7718642858388</v>
      </c>
      <c r="N256" s="1" t="s">
        <v>36</v>
      </c>
    </row>
    <row r="257" ht="15.75" customHeight="1">
      <c r="A257" s="1">
        <v>18.0</v>
      </c>
      <c r="B257" s="1">
        <v>599.0</v>
      </c>
      <c r="C257" s="1" t="s">
        <v>55</v>
      </c>
      <c r="D257" s="1" t="s">
        <v>1042</v>
      </c>
      <c r="E257" s="1" t="s">
        <v>57</v>
      </c>
      <c r="F257" s="1" t="s">
        <v>1103</v>
      </c>
      <c r="G257" s="1" t="s">
        <v>1104</v>
      </c>
      <c r="H257" s="1">
        <v>8.74731090058461</v>
      </c>
      <c r="I257" s="1">
        <v>11.7479429829341</v>
      </c>
      <c r="J257" s="1">
        <v>17.005468242799</v>
      </c>
      <c r="K257" s="1">
        <v>16.0989389664499</v>
      </c>
      <c r="L257" s="1">
        <v>23.0505819848529</v>
      </c>
      <c r="M257" s="1">
        <v>45.1046716629848</v>
      </c>
      <c r="N257" s="1" t="s">
        <v>36</v>
      </c>
    </row>
    <row r="258" ht="15.75" customHeight="1">
      <c r="A258" s="1">
        <v>18.0</v>
      </c>
      <c r="B258" s="1">
        <v>600.0</v>
      </c>
      <c r="C258" s="1" t="s">
        <v>55</v>
      </c>
      <c r="D258" s="1" t="s">
        <v>1042</v>
      </c>
      <c r="E258" s="1" t="s">
        <v>57</v>
      </c>
      <c r="F258" s="1" t="s">
        <v>1106</v>
      </c>
      <c r="G258" s="1" t="s">
        <v>1107</v>
      </c>
      <c r="H258" s="1">
        <v>7.14600938887919</v>
      </c>
      <c r="I258" s="1">
        <v>7.72525774732536</v>
      </c>
      <c r="J258" s="1">
        <v>7.14600938887919</v>
      </c>
      <c r="K258" s="1">
        <v>16.8961839288204</v>
      </c>
      <c r="L258" s="1">
        <v>16.038970173236</v>
      </c>
      <c r="M258" s="1">
        <v>38.6198631877868</v>
      </c>
      <c r="N258" s="1" t="s">
        <v>36</v>
      </c>
    </row>
    <row r="259" ht="15.75" customHeight="1">
      <c r="A259" s="1">
        <v>18.0</v>
      </c>
      <c r="B259" s="1">
        <v>601.0</v>
      </c>
      <c r="C259" s="1" t="s">
        <v>55</v>
      </c>
      <c r="D259" s="1" t="s">
        <v>1042</v>
      </c>
      <c r="E259" s="1" t="s">
        <v>57</v>
      </c>
      <c r="F259" s="1" t="s">
        <v>1110</v>
      </c>
      <c r="G259" s="1" t="s">
        <v>1111</v>
      </c>
      <c r="H259" s="1">
        <v>6.41691363332692</v>
      </c>
      <c r="I259" s="1">
        <v>4.91110442039156</v>
      </c>
      <c r="J259" s="1">
        <v>8.56480918290769</v>
      </c>
      <c r="K259" s="1">
        <v>15.107243200171</v>
      </c>
      <c r="L259" s="1">
        <v>13.8158599209378</v>
      </c>
      <c r="M259" s="1">
        <v>36.3039513670432</v>
      </c>
      <c r="N259" s="1" t="s">
        <v>36</v>
      </c>
    </row>
    <row r="260" ht="15.75" customHeight="1">
      <c r="A260" s="1">
        <v>18.0</v>
      </c>
      <c r="B260" s="1">
        <v>602.0</v>
      </c>
      <c r="C260" s="1" t="s">
        <v>55</v>
      </c>
      <c r="D260" s="1" t="s">
        <v>1042</v>
      </c>
      <c r="E260" s="1" t="s">
        <v>57</v>
      </c>
      <c r="F260" s="1" t="s">
        <v>1113</v>
      </c>
      <c r="G260" s="1" t="s">
        <v>1114</v>
      </c>
      <c r="H260" s="1">
        <v>13.5352536550588</v>
      </c>
      <c r="I260" s="1">
        <v>23.0618439548989</v>
      </c>
      <c r="J260" s="1">
        <v>26.0166415411114</v>
      </c>
      <c r="K260" s="1">
        <v>29.4831936040834</v>
      </c>
      <c r="L260" s="1">
        <v>12.4410788415919</v>
      </c>
      <c r="M260" s="1">
        <v>33.6612004849145</v>
      </c>
      <c r="N260" s="1" t="s">
        <v>36</v>
      </c>
    </row>
    <row r="261" ht="15.75" customHeight="1">
      <c r="A261" s="1">
        <v>19.0</v>
      </c>
      <c r="B261" s="1">
        <v>396.0</v>
      </c>
      <c r="C261" s="1" t="s">
        <v>55</v>
      </c>
      <c r="D261" s="1" t="s">
        <v>1116</v>
      </c>
      <c r="E261" s="1" t="s">
        <v>78</v>
      </c>
      <c r="F261" s="1" t="s">
        <v>1117</v>
      </c>
      <c r="G261" s="1" t="s">
        <v>1118</v>
      </c>
      <c r="H261" s="1">
        <v>7.27270823021109</v>
      </c>
      <c r="I261" s="1" t="s">
        <v>33</v>
      </c>
      <c r="J261" s="1" t="s">
        <v>33</v>
      </c>
      <c r="K261" s="1" t="s">
        <v>33</v>
      </c>
      <c r="L261" s="1">
        <v>6.41019737174467</v>
      </c>
      <c r="M261" s="1">
        <v>62.6115774045761</v>
      </c>
      <c r="N261" s="1" t="s">
        <v>31</v>
      </c>
    </row>
    <row r="262" ht="15.75" customHeight="1">
      <c r="A262" s="1">
        <v>19.0</v>
      </c>
      <c r="B262" s="1">
        <v>397.0</v>
      </c>
      <c r="C262" s="1" t="s">
        <v>55</v>
      </c>
      <c r="D262" s="1" t="s">
        <v>1116</v>
      </c>
      <c r="E262" s="1" t="s">
        <v>78</v>
      </c>
      <c r="F262" s="1" t="s">
        <v>1119</v>
      </c>
      <c r="G262" s="1" t="s">
        <v>1120</v>
      </c>
      <c r="H262" s="1">
        <v>7.27270823021109</v>
      </c>
      <c r="I262" s="1" t="s">
        <v>33</v>
      </c>
      <c r="J262" s="1" t="s">
        <v>33</v>
      </c>
      <c r="K262" s="1" t="s">
        <v>33</v>
      </c>
      <c r="L262" s="1">
        <v>10.3666743945556</v>
      </c>
      <c r="M262" s="1">
        <v>62.6156227653316</v>
      </c>
      <c r="N262" s="1" t="s">
        <v>31</v>
      </c>
    </row>
    <row r="263" ht="15.75" customHeight="1">
      <c r="A263" s="1">
        <v>19.0</v>
      </c>
      <c r="B263" s="1">
        <v>398.0</v>
      </c>
      <c r="C263" s="1" t="s">
        <v>55</v>
      </c>
      <c r="D263" s="1" t="s">
        <v>1116</v>
      </c>
      <c r="E263" s="1" t="s">
        <v>57</v>
      </c>
      <c r="F263" s="1" t="s">
        <v>1123</v>
      </c>
      <c r="G263" s="1" t="s">
        <v>1124</v>
      </c>
      <c r="H263" s="1">
        <v>6.46180044561872</v>
      </c>
      <c r="I263" s="1" t="s">
        <v>33</v>
      </c>
      <c r="J263" s="1" t="s">
        <v>33</v>
      </c>
      <c r="K263" s="1" t="s">
        <v>33</v>
      </c>
      <c r="L263" s="1">
        <v>16.2356147624025</v>
      </c>
      <c r="M263" s="1">
        <v>70.8402680557714</v>
      </c>
      <c r="N263" s="1" t="s">
        <v>31</v>
      </c>
    </row>
    <row r="264" ht="15.75" customHeight="1">
      <c r="A264" s="1">
        <v>19.0</v>
      </c>
      <c r="B264" s="1">
        <v>399.0</v>
      </c>
      <c r="C264" s="1" t="s">
        <v>55</v>
      </c>
      <c r="D264" s="1" t="s">
        <v>1116</v>
      </c>
      <c r="E264" s="1" t="s">
        <v>78</v>
      </c>
      <c r="F264" s="1" t="s">
        <v>1127</v>
      </c>
      <c r="G264" s="1" t="s">
        <v>1128</v>
      </c>
      <c r="H264" s="1">
        <v>4.45608348201607</v>
      </c>
      <c r="I264" s="1" t="s">
        <v>33</v>
      </c>
      <c r="J264" s="1" t="s">
        <v>33</v>
      </c>
      <c r="K264" s="1" t="s">
        <v>33</v>
      </c>
      <c r="L264" s="1">
        <v>17.298823925841</v>
      </c>
      <c r="M264" s="1">
        <v>74.1141780238486</v>
      </c>
      <c r="N264" s="1" t="s">
        <v>31</v>
      </c>
    </row>
    <row r="265" ht="15.75" customHeight="1">
      <c r="A265" s="1">
        <v>19.0</v>
      </c>
      <c r="B265" s="1">
        <v>400.0</v>
      </c>
      <c r="C265" s="1" t="s">
        <v>55</v>
      </c>
      <c r="D265" s="1" t="s">
        <v>1116</v>
      </c>
      <c r="E265" s="1" t="s">
        <v>78</v>
      </c>
      <c r="F265" s="1" t="s">
        <v>1130</v>
      </c>
      <c r="G265" s="1" t="s">
        <v>1131</v>
      </c>
      <c r="H265" s="1">
        <v>8.26873750939222</v>
      </c>
      <c r="I265" s="1" t="s">
        <v>33</v>
      </c>
      <c r="J265" s="1" t="s">
        <v>33</v>
      </c>
      <c r="K265" s="1" t="s">
        <v>33</v>
      </c>
      <c r="L265" s="1">
        <v>18.8152226523734</v>
      </c>
      <c r="M265" s="1">
        <v>26.6232014998928</v>
      </c>
      <c r="N265" s="1" t="s">
        <v>31</v>
      </c>
    </row>
    <row r="266" ht="15.75" customHeight="1">
      <c r="A266" s="1">
        <v>19.0</v>
      </c>
      <c r="B266" s="1">
        <v>401.0</v>
      </c>
      <c r="C266" s="1" t="s">
        <v>55</v>
      </c>
      <c r="D266" s="1" t="s">
        <v>1116</v>
      </c>
      <c r="E266" s="1" t="s">
        <v>57</v>
      </c>
      <c r="F266" s="1" t="s">
        <v>1134</v>
      </c>
      <c r="G266" s="1" t="s">
        <v>1135</v>
      </c>
      <c r="H266" s="1">
        <v>4.45608348201607</v>
      </c>
      <c r="I266" s="1" t="s">
        <v>33</v>
      </c>
      <c r="J266" s="1" t="s">
        <v>33</v>
      </c>
      <c r="K266" s="1" t="s">
        <v>33</v>
      </c>
      <c r="L266" s="1">
        <v>19.467786299627</v>
      </c>
      <c r="M266" s="1">
        <v>73.1576817554467</v>
      </c>
      <c r="N266" s="1" t="s">
        <v>31</v>
      </c>
    </row>
    <row r="267" ht="15.75" customHeight="1">
      <c r="A267" s="1">
        <v>19.0</v>
      </c>
      <c r="B267" s="1">
        <v>402.0</v>
      </c>
      <c r="C267" s="1" t="s">
        <v>55</v>
      </c>
      <c r="D267" s="1" t="s">
        <v>1116</v>
      </c>
      <c r="E267" s="1" t="s">
        <v>78</v>
      </c>
      <c r="F267" s="1" t="s">
        <v>1136</v>
      </c>
      <c r="G267" s="1" t="s">
        <v>1137</v>
      </c>
      <c r="H267" s="1">
        <v>4.61610571810189</v>
      </c>
      <c r="I267" s="1" t="s">
        <v>33</v>
      </c>
      <c r="J267" s="1" t="s">
        <v>33</v>
      </c>
      <c r="K267" s="1" t="s">
        <v>33</v>
      </c>
      <c r="L267" s="1">
        <v>21.5333902456757</v>
      </c>
      <c r="M267" s="1">
        <v>69.652866714263</v>
      </c>
      <c r="N267" s="1" t="s">
        <v>31</v>
      </c>
    </row>
    <row r="268" ht="15.75" customHeight="1">
      <c r="A268" s="1">
        <v>19.0</v>
      </c>
      <c r="B268" s="1">
        <v>403.0</v>
      </c>
      <c r="C268" s="1" t="s">
        <v>55</v>
      </c>
      <c r="D268" s="1" t="s">
        <v>1116</v>
      </c>
      <c r="E268" s="1" t="s">
        <v>78</v>
      </c>
      <c r="F268" s="1" t="s">
        <v>1139</v>
      </c>
      <c r="G268" s="1" t="s">
        <v>1140</v>
      </c>
      <c r="H268" s="1">
        <v>9.20361477882933</v>
      </c>
      <c r="I268" s="1" t="s">
        <v>33</v>
      </c>
      <c r="J268" s="1" t="s">
        <v>33</v>
      </c>
      <c r="K268" s="1" t="s">
        <v>33</v>
      </c>
      <c r="L268" s="1">
        <v>17.9104751765812</v>
      </c>
      <c r="M268" s="1">
        <v>78.3915566209103</v>
      </c>
      <c r="N268" s="1" t="s">
        <v>31</v>
      </c>
    </row>
    <row r="269" ht="15.75" customHeight="1">
      <c r="A269" s="1">
        <v>19.0</v>
      </c>
      <c r="B269" s="1">
        <v>404.0</v>
      </c>
      <c r="C269" s="1" t="s">
        <v>55</v>
      </c>
      <c r="D269" s="1" t="s">
        <v>1116</v>
      </c>
      <c r="E269" s="1" t="s">
        <v>78</v>
      </c>
      <c r="F269" s="1" t="s">
        <v>1144</v>
      </c>
      <c r="G269" s="1" t="s">
        <v>1145</v>
      </c>
      <c r="H269" s="1">
        <v>9.73539649922878</v>
      </c>
      <c r="I269" s="1" t="s">
        <v>33</v>
      </c>
      <c r="J269" s="1" t="s">
        <v>33</v>
      </c>
      <c r="K269" s="1" t="s">
        <v>33</v>
      </c>
      <c r="L269" s="1">
        <v>3.88576062895235</v>
      </c>
      <c r="M269" s="1">
        <v>94.7651684515602</v>
      </c>
      <c r="N269" s="1" t="s">
        <v>31</v>
      </c>
    </row>
    <row r="270" ht="15.75" customHeight="1">
      <c r="A270" s="1">
        <v>19.0</v>
      </c>
      <c r="B270" s="1">
        <v>405.0</v>
      </c>
      <c r="C270" s="1" t="s">
        <v>55</v>
      </c>
      <c r="D270" s="1" t="s">
        <v>1116</v>
      </c>
      <c r="E270" s="1" t="s">
        <v>78</v>
      </c>
      <c r="F270" s="1" t="s">
        <v>1147</v>
      </c>
      <c r="G270" s="1" t="s">
        <v>1148</v>
      </c>
      <c r="H270" s="1">
        <v>9.73539649922878</v>
      </c>
      <c r="I270" s="1" t="s">
        <v>33</v>
      </c>
      <c r="J270" s="1" t="s">
        <v>33</v>
      </c>
      <c r="K270" s="1" t="s">
        <v>33</v>
      </c>
      <c r="L270" s="1">
        <v>4.88767283394917</v>
      </c>
      <c r="M270" s="1">
        <v>89.4319172194185</v>
      </c>
      <c r="N270" s="1" t="s">
        <v>31</v>
      </c>
    </row>
    <row r="271" ht="15.75" customHeight="1">
      <c r="A271" s="1">
        <v>19.0</v>
      </c>
      <c r="B271" s="1">
        <v>406.0</v>
      </c>
      <c r="C271" s="1" t="s">
        <v>55</v>
      </c>
      <c r="D271" s="1" t="s">
        <v>1116</v>
      </c>
      <c r="E271" s="1" t="s">
        <v>57</v>
      </c>
      <c r="F271" s="1" t="s">
        <v>1152</v>
      </c>
      <c r="G271" s="1" t="s">
        <v>1153</v>
      </c>
      <c r="H271" s="1">
        <v>6.70847598183698</v>
      </c>
      <c r="I271" s="1" t="s">
        <v>33</v>
      </c>
      <c r="J271" s="1" t="s">
        <v>33</v>
      </c>
      <c r="K271" s="1" t="s">
        <v>33</v>
      </c>
      <c r="L271" s="1">
        <v>4.83731452207187</v>
      </c>
      <c r="M271" s="1">
        <v>84.4617501966719</v>
      </c>
      <c r="N271" s="1" t="s">
        <v>31</v>
      </c>
    </row>
    <row r="272" ht="15.75" customHeight="1">
      <c r="A272" s="1">
        <v>19.0</v>
      </c>
      <c r="B272" s="1">
        <v>407.0</v>
      </c>
      <c r="C272" s="1" t="s">
        <v>55</v>
      </c>
      <c r="D272" s="1" t="s">
        <v>1116</v>
      </c>
      <c r="E272" s="1" t="s">
        <v>57</v>
      </c>
      <c r="F272" s="1" t="s">
        <v>1155</v>
      </c>
      <c r="G272" s="1" t="s">
        <v>1156</v>
      </c>
      <c r="H272" s="1">
        <v>3.97977951686255</v>
      </c>
      <c r="I272" s="1" t="s">
        <v>33</v>
      </c>
      <c r="J272" s="1" t="s">
        <v>33</v>
      </c>
      <c r="K272" s="1" t="s">
        <v>33</v>
      </c>
      <c r="L272" s="1">
        <v>0.343512778767045</v>
      </c>
      <c r="M272" s="1">
        <v>77.8135549642896</v>
      </c>
      <c r="N272" s="1" t="s">
        <v>31</v>
      </c>
    </row>
    <row r="273" ht="15.75" customHeight="1">
      <c r="A273" s="1">
        <v>19.0</v>
      </c>
      <c r="B273" s="1">
        <v>408.0</v>
      </c>
      <c r="C273" s="1" t="s">
        <v>55</v>
      </c>
      <c r="D273" s="1" t="s">
        <v>1116</v>
      </c>
      <c r="E273" s="1" t="s">
        <v>57</v>
      </c>
      <c r="F273" s="1" t="s">
        <v>1159</v>
      </c>
      <c r="G273" s="1" t="s">
        <v>1160</v>
      </c>
      <c r="H273" s="1">
        <v>3.97977951686255</v>
      </c>
      <c r="I273" s="1" t="s">
        <v>33</v>
      </c>
      <c r="J273" s="1" t="s">
        <v>33</v>
      </c>
      <c r="K273" s="1" t="s">
        <v>33</v>
      </c>
      <c r="L273" s="1">
        <v>3.32091546114492</v>
      </c>
      <c r="M273" s="1">
        <v>76.845059416446</v>
      </c>
      <c r="N273" s="1" t="s">
        <v>31</v>
      </c>
    </row>
    <row r="274" ht="15.75" customHeight="1">
      <c r="A274" s="1">
        <v>19.0</v>
      </c>
      <c r="B274" s="1">
        <v>409.0</v>
      </c>
      <c r="C274" s="1" t="s">
        <v>55</v>
      </c>
      <c r="D274" s="1" t="s">
        <v>1116</v>
      </c>
      <c r="E274" s="1" t="s">
        <v>78</v>
      </c>
      <c r="F274" s="1" t="s">
        <v>1162</v>
      </c>
      <c r="G274" s="1" t="s">
        <v>1163</v>
      </c>
      <c r="H274" s="1">
        <v>5.4699386645509</v>
      </c>
      <c r="I274" s="1" t="s">
        <v>33</v>
      </c>
      <c r="J274" s="1" t="s">
        <v>33</v>
      </c>
      <c r="K274" s="1" t="s">
        <v>33</v>
      </c>
      <c r="L274" s="1">
        <v>4.59590405006279</v>
      </c>
      <c r="M274" s="1">
        <v>30.4176888545385</v>
      </c>
      <c r="N274" s="1" t="s">
        <v>31</v>
      </c>
    </row>
    <row r="275" ht="15.75" customHeight="1">
      <c r="A275" s="1">
        <v>19.0</v>
      </c>
      <c r="B275" s="1">
        <v>410.0</v>
      </c>
      <c r="C275" s="1" t="s">
        <v>55</v>
      </c>
      <c r="D275" s="1" t="s">
        <v>1116</v>
      </c>
      <c r="E275" s="1" t="s">
        <v>57</v>
      </c>
      <c r="F275" s="1" t="s">
        <v>1166</v>
      </c>
      <c r="G275" s="1" t="s">
        <v>1167</v>
      </c>
      <c r="H275" s="1">
        <v>1.02521997615129</v>
      </c>
      <c r="I275" s="1" t="s">
        <v>33</v>
      </c>
      <c r="J275" s="1" t="s">
        <v>33</v>
      </c>
      <c r="K275" s="1" t="s">
        <v>33</v>
      </c>
      <c r="L275" s="1">
        <v>12.0594327968165</v>
      </c>
      <c r="M275" s="1">
        <v>66.7887927194928</v>
      </c>
      <c r="N275" s="1" t="s">
        <v>31</v>
      </c>
    </row>
    <row r="276" ht="15.75" customHeight="1">
      <c r="A276" s="1">
        <v>19.0</v>
      </c>
      <c r="B276" s="1">
        <v>411.0</v>
      </c>
      <c r="C276" s="1" t="s">
        <v>55</v>
      </c>
      <c r="D276" s="1" t="s">
        <v>1116</v>
      </c>
      <c r="E276" s="1" t="s">
        <v>57</v>
      </c>
      <c r="F276" s="1" t="s">
        <v>1168</v>
      </c>
      <c r="G276" s="1" t="s">
        <v>1170</v>
      </c>
      <c r="H276" s="1">
        <v>1.02521997615129</v>
      </c>
      <c r="I276" s="1" t="s">
        <v>33</v>
      </c>
      <c r="J276" s="1" t="s">
        <v>33</v>
      </c>
      <c r="K276" s="1" t="s">
        <v>33</v>
      </c>
      <c r="L276" s="1">
        <v>12.3262778262959</v>
      </c>
      <c r="M276" s="1">
        <v>67.3358189496076</v>
      </c>
      <c r="N276" s="1" t="s">
        <v>31</v>
      </c>
    </row>
    <row r="277" ht="15.75" customHeight="1">
      <c r="A277" s="1">
        <v>19.0</v>
      </c>
      <c r="B277" s="1">
        <v>412.0</v>
      </c>
      <c r="C277" s="1" t="s">
        <v>55</v>
      </c>
      <c r="D277" s="1" t="s">
        <v>1116</v>
      </c>
      <c r="E277" s="1" t="s">
        <v>57</v>
      </c>
      <c r="F277" s="1" t="s">
        <v>1173</v>
      </c>
      <c r="G277" s="1" t="s">
        <v>1174</v>
      </c>
      <c r="H277" s="1">
        <v>2.14043219940854</v>
      </c>
      <c r="I277" s="1" t="s">
        <v>33</v>
      </c>
      <c r="J277" s="1" t="s">
        <v>33</v>
      </c>
      <c r="K277" s="1" t="s">
        <v>33</v>
      </c>
      <c r="L277" s="1">
        <v>14.1655334459707</v>
      </c>
      <c r="M277" s="1">
        <v>65.4949367742441</v>
      </c>
      <c r="N277" s="1" t="s">
        <v>31</v>
      </c>
    </row>
    <row r="278" ht="15.75" customHeight="1">
      <c r="A278" s="1">
        <v>19.0</v>
      </c>
      <c r="B278" s="1">
        <v>413.0</v>
      </c>
      <c r="C278" s="1" t="s">
        <v>55</v>
      </c>
      <c r="D278" s="1" t="s">
        <v>1116</v>
      </c>
      <c r="E278" s="1" t="s">
        <v>78</v>
      </c>
      <c r="F278" s="1" t="s">
        <v>1177</v>
      </c>
      <c r="G278" s="1" t="s">
        <v>1178</v>
      </c>
      <c r="H278" s="1">
        <v>18.6779560178536</v>
      </c>
      <c r="I278" s="1" t="s">
        <v>33</v>
      </c>
      <c r="J278" s="1" t="s">
        <v>33</v>
      </c>
      <c r="K278" s="1" t="s">
        <v>33</v>
      </c>
      <c r="L278" s="1">
        <v>36.3978613440754</v>
      </c>
      <c r="M278" s="1">
        <v>102.910950740525</v>
      </c>
      <c r="N278" s="1" t="s">
        <v>31</v>
      </c>
    </row>
    <row r="279" ht="15.75" customHeight="1">
      <c r="A279" s="1">
        <v>19.0</v>
      </c>
      <c r="B279" s="1">
        <v>414.0</v>
      </c>
      <c r="C279" s="1" t="s">
        <v>55</v>
      </c>
      <c r="D279" s="1" t="s">
        <v>1116</v>
      </c>
      <c r="E279" s="1" t="s">
        <v>78</v>
      </c>
      <c r="F279" s="1" t="s">
        <v>1180</v>
      </c>
      <c r="G279" s="1" t="s">
        <v>1181</v>
      </c>
      <c r="H279" s="1">
        <v>5.2823277058981</v>
      </c>
      <c r="I279" s="1" t="s">
        <v>33</v>
      </c>
      <c r="J279" s="1" t="s">
        <v>33</v>
      </c>
      <c r="K279" s="1" t="s">
        <v>33</v>
      </c>
      <c r="L279" s="1">
        <v>34.9176525263849</v>
      </c>
      <c r="M279" s="1">
        <v>90.5718833758401</v>
      </c>
      <c r="N279" s="1" t="s">
        <v>31</v>
      </c>
    </row>
    <row r="280" ht="15.75" customHeight="1">
      <c r="A280" s="1">
        <v>19.0</v>
      </c>
      <c r="B280" s="1">
        <v>415.0</v>
      </c>
      <c r="C280" s="1" t="s">
        <v>55</v>
      </c>
      <c r="D280" s="1" t="s">
        <v>1116</v>
      </c>
      <c r="E280" s="1" t="s">
        <v>78</v>
      </c>
      <c r="F280" s="1" t="s">
        <v>1182</v>
      </c>
      <c r="G280" s="1" t="s">
        <v>1183</v>
      </c>
      <c r="H280" s="1">
        <v>5.2823277058981</v>
      </c>
      <c r="I280" s="1" t="s">
        <v>33</v>
      </c>
      <c r="J280" s="1" t="s">
        <v>33</v>
      </c>
      <c r="K280" s="1" t="s">
        <v>33</v>
      </c>
      <c r="L280" s="1">
        <v>40.1995967691735</v>
      </c>
      <c r="M280" s="1">
        <v>94.9446835140986</v>
      </c>
      <c r="N280" s="1" t="s">
        <v>31</v>
      </c>
    </row>
    <row r="281" ht="15.75" customHeight="1">
      <c r="A281" s="1">
        <v>19.0</v>
      </c>
      <c r="B281" s="1">
        <v>416.0</v>
      </c>
      <c r="C281" s="1" t="s">
        <v>55</v>
      </c>
      <c r="D281" s="1" t="s">
        <v>1116</v>
      </c>
      <c r="E281" s="1" t="s">
        <v>78</v>
      </c>
      <c r="F281" s="1" t="s">
        <v>1188</v>
      </c>
      <c r="G281" s="1" t="s">
        <v>1189</v>
      </c>
      <c r="H281" s="1">
        <v>16.7412344223233</v>
      </c>
      <c r="I281" s="1" t="s">
        <v>33</v>
      </c>
      <c r="J281" s="1" t="s">
        <v>33</v>
      </c>
      <c r="K281" s="1" t="s">
        <v>33</v>
      </c>
      <c r="L281" s="1">
        <v>47.1503281842685</v>
      </c>
      <c r="M281" s="1">
        <v>91.1000535828048</v>
      </c>
      <c r="N281" s="1" t="s">
        <v>31</v>
      </c>
    </row>
    <row r="282" ht="15.75" customHeight="1">
      <c r="A282" s="1">
        <v>19.0</v>
      </c>
      <c r="B282" s="1">
        <v>417.0</v>
      </c>
      <c r="C282" s="1" t="s">
        <v>55</v>
      </c>
      <c r="D282" s="1" t="s">
        <v>1116</v>
      </c>
      <c r="E282" s="1" t="s">
        <v>78</v>
      </c>
      <c r="F282" s="1" t="s">
        <v>1192</v>
      </c>
      <c r="G282" s="1" t="s">
        <v>1193</v>
      </c>
      <c r="H282" s="1">
        <v>5.07952054831113</v>
      </c>
      <c r="I282" s="1" t="s">
        <v>33</v>
      </c>
      <c r="J282" s="1" t="s">
        <v>33</v>
      </c>
      <c r="K282" s="1" t="s">
        <v>33</v>
      </c>
      <c r="L282" s="1">
        <v>31.4707217599518</v>
      </c>
      <c r="M282" s="1">
        <v>74.7791830097317</v>
      </c>
      <c r="N282" s="1" t="s">
        <v>31</v>
      </c>
    </row>
    <row r="283" ht="15.75" customHeight="1">
      <c r="A283" s="1">
        <v>19.0</v>
      </c>
      <c r="B283" s="1">
        <v>418.0</v>
      </c>
      <c r="C283" s="1" t="s">
        <v>55</v>
      </c>
      <c r="D283" s="1" t="s">
        <v>1116</v>
      </c>
      <c r="E283" s="1" t="s">
        <v>78</v>
      </c>
      <c r="F283" s="1" t="s">
        <v>1196</v>
      </c>
      <c r="G283" s="1" t="s">
        <v>1197</v>
      </c>
      <c r="H283" s="1">
        <v>5.07952054831113</v>
      </c>
      <c r="I283" s="1" t="s">
        <v>33</v>
      </c>
      <c r="J283" s="1" t="s">
        <v>33</v>
      </c>
      <c r="K283" s="1" t="s">
        <v>33</v>
      </c>
      <c r="L283" s="1">
        <v>32.4813350523489</v>
      </c>
      <c r="M283" s="1">
        <v>72.9225082419764</v>
      </c>
      <c r="N283" s="1" t="s">
        <v>31</v>
      </c>
    </row>
    <row r="284" ht="15.75" customHeight="1">
      <c r="A284" s="1">
        <v>19.0</v>
      </c>
      <c r="B284" s="1">
        <v>419.0</v>
      </c>
      <c r="C284" s="1" t="s">
        <v>55</v>
      </c>
      <c r="D284" s="1" t="s">
        <v>1116</v>
      </c>
      <c r="E284" s="1" t="s">
        <v>78</v>
      </c>
      <c r="F284" s="1" t="s">
        <v>1200</v>
      </c>
      <c r="G284" s="1" t="s">
        <v>1201</v>
      </c>
      <c r="H284" s="1">
        <v>4.42304612215746</v>
      </c>
      <c r="I284" s="1" t="s">
        <v>33</v>
      </c>
      <c r="J284" s="1" t="s">
        <v>33</v>
      </c>
      <c r="K284" s="1" t="s">
        <v>33</v>
      </c>
      <c r="L284" s="1">
        <v>25.9616650698419</v>
      </c>
      <c r="M284" s="1">
        <v>67.0861413055539</v>
      </c>
      <c r="N284" s="1" t="s">
        <v>31</v>
      </c>
    </row>
    <row r="285" ht="15.75" customHeight="1">
      <c r="A285" s="1">
        <v>19.0</v>
      </c>
      <c r="B285" s="1">
        <v>420.0</v>
      </c>
      <c r="C285" s="1" t="s">
        <v>55</v>
      </c>
      <c r="D285" s="1" t="s">
        <v>1116</v>
      </c>
      <c r="E285" s="1" t="s">
        <v>78</v>
      </c>
      <c r="F285" s="1" t="s">
        <v>1203</v>
      </c>
      <c r="G285" s="1" t="s">
        <v>1204</v>
      </c>
      <c r="H285" s="1">
        <v>4.42304612215746</v>
      </c>
      <c r="I285" s="1" t="s">
        <v>33</v>
      </c>
      <c r="J285" s="1" t="s">
        <v>33</v>
      </c>
      <c r="K285" s="1" t="s">
        <v>33</v>
      </c>
      <c r="L285" s="1">
        <v>24.541029977579</v>
      </c>
      <c r="M285" s="1">
        <v>63.6058279561621</v>
      </c>
      <c r="N285" s="1" t="s">
        <v>31</v>
      </c>
    </row>
    <row r="286" ht="15.75" customHeight="1">
      <c r="A286" s="1">
        <v>19.0</v>
      </c>
      <c r="B286" s="1">
        <v>421.0</v>
      </c>
      <c r="C286" s="1" t="s">
        <v>55</v>
      </c>
      <c r="D286" s="1" t="s">
        <v>1116</v>
      </c>
      <c r="E286" s="1" t="s">
        <v>57</v>
      </c>
      <c r="F286" s="1" t="s">
        <v>1206</v>
      </c>
      <c r="G286" s="1" t="s">
        <v>1208</v>
      </c>
      <c r="H286" s="1">
        <v>6.27808290881821</v>
      </c>
      <c r="I286" s="1" t="s">
        <v>33</v>
      </c>
      <c r="J286" s="1" t="s">
        <v>33</v>
      </c>
      <c r="K286" s="1" t="s">
        <v>33</v>
      </c>
      <c r="L286" s="1">
        <v>35.6201250679808</v>
      </c>
      <c r="M286" s="1">
        <v>66.4012687461374</v>
      </c>
      <c r="N286" s="1" t="s">
        <v>31</v>
      </c>
    </row>
    <row r="287" ht="15.75" customHeight="1">
      <c r="A287" s="1">
        <v>19.0</v>
      </c>
      <c r="B287" s="1">
        <v>422.0</v>
      </c>
      <c r="C287" s="1" t="s">
        <v>55</v>
      </c>
      <c r="D287" s="1" t="s">
        <v>1116</v>
      </c>
      <c r="E287" s="1" t="s">
        <v>78</v>
      </c>
      <c r="F287" s="1" t="s">
        <v>1211</v>
      </c>
      <c r="G287" s="1" t="s">
        <v>1212</v>
      </c>
      <c r="H287" s="1">
        <v>4.11049826603809</v>
      </c>
      <c r="I287" s="1" t="s">
        <v>33</v>
      </c>
      <c r="J287" s="1" t="s">
        <v>33</v>
      </c>
      <c r="K287" s="1" t="s">
        <v>33</v>
      </c>
      <c r="L287" s="1">
        <v>45.4037934444369</v>
      </c>
      <c r="M287" s="1">
        <v>76.5370983920323</v>
      </c>
      <c r="N287" s="1" t="s">
        <v>31</v>
      </c>
    </row>
    <row r="288" ht="15.75" customHeight="1">
      <c r="A288" s="1">
        <v>19.0</v>
      </c>
      <c r="B288" s="1">
        <v>423.0</v>
      </c>
      <c r="C288" s="1" t="s">
        <v>55</v>
      </c>
      <c r="D288" s="1" t="s">
        <v>1116</v>
      </c>
      <c r="E288" s="1" t="s">
        <v>78</v>
      </c>
      <c r="F288" s="1" t="s">
        <v>1214</v>
      </c>
      <c r="G288" s="1" t="s">
        <v>1216</v>
      </c>
      <c r="H288" s="1">
        <v>7.58620458445353</v>
      </c>
      <c r="I288" s="1" t="s">
        <v>33</v>
      </c>
      <c r="J288" s="1" t="s">
        <v>33</v>
      </c>
      <c r="K288" s="1" t="s">
        <v>33</v>
      </c>
      <c r="L288" s="1">
        <v>44.1504047363849</v>
      </c>
      <c r="M288" s="1">
        <v>78.9281675852241</v>
      </c>
      <c r="N288" s="1" t="s">
        <v>31</v>
      </c>
    </row>
    <row r="289" ht="15.75" customHeight="1">
      <c r="A289" s="1">
        <v>19.0</v>
      </c>
      <c r="B289" s="1">
        <v>424.0</v>
      </c>
      <c r="C289" s="1" t="s">
        <v>55</v>
      </c>
      <c r="D289" s="1" t="s">
        <v>1116</v>
      </c>
      <c r="E289" s="1" t="s">
        <v>57</v>
      </c>
      <c r="F289" s="1" t="s">
        <v>1220</v>
      </c>
      <c r="G289" s="1" t="s">
        <v>1221</v>
      </c>
      <c r="H289" s="1">
        <v>9.42765638932446</v>
      </c>
      <c r="I289" s="1" t="s">
        <v>33</v>
      </c>
      <c r="J289" s="1" t="s">
        <v>33</v>
      </c>
      <c r="K289" s="1" t="s">
        <v>33</v>
      </c>
      <c r="L289" s="1">
        <v>0.167365148808451</v>
      </c>
      <c r="M289" s="1">
        <v>44.0248106027507</v>
      </c>
      <c r="N289" s="1" t="s">
        <v>31</v>
      </c>
    </row>
    <row r="290" ht="15.75" customHeight="1">
      <c r="A290" s="1">
        <v>19.0</v>
      </c>
      <c r="B290" s="1">
        <v>425.0</v>
      </c>
      <c r="C290" s="1" t="s">
        <v>55</v>
      </c>
      <c r="D290" s="1" t="s">
        <v>1116</v>
      </c>
      <c r="E290" s="1" t="s">
        <v>57</v>
      </c>
      <c r="F290" s="1" t="s">
        <v>1225</v>
      </c>
      <c r="G290" s="1" t="s">
        <v>1226</v>
      </c>
      <c r="H290" s="1">
        <v>2.88879005836582</v>
      </c>
      <c r="I290" s="1" t="s">
        <v>33</v>
      </c>
      <c r="J290" s="1" t="s">
        <v>33</v>
      </c>
      <c r="K290" s="1" t="s">
        <v>33</v>
      </c>
      <c r="L290" s="1">
        <v>9.71407177996117</v>
      </c>
      <c r="M290" s="1">
        <v>58.097157048399</v>
      </c>
      <c r="N290" s="1" t="s">
        <v>31</v>
      </c>
    </row>
    <row r="291" ht="15.75" customHeight="1">
      <c r="A291" s="1">
        <v>19.0</v>
      </c>
      <c r="B291" s="1">
        <v>426.0</v>
      </c>
      <c r="C291" s="1" t="s">
        <v>55</v>
      </c>
      <c r="D291" s="1" t="s">
        <v>1116</v>
      </c>
      <c r="E291" s="1" t="s">
        <v>57</v>
      </c>
      <c r="F291" s="1" t="s">
        <v>1230</v>
      </c>
      <c r="G291" s="1" t="s">
        <v>1231</v>
      </c>
      <c r="H291" s="1">
        <v>2.88879005836582</v>
      </c>
      <c r="I291" s="1" t="s">
        <v>33</v>
      </c>
      <c r="J291" s="1" t="s">
        <v>33</v>
      </c>
      <c r="K291" s="1" t="s">
        <v>33</v>
      </c>
      <c r="L291" s="1">
        <v>11.7643496345049</v>
      </c>
      <c r="M291" s="1">
        <v>58.0837855781075</v>
      </c>
      <c r="N291" s="1" t="s">
        <v>31</v>
      </c>
    </row>
    <row r="292" ht="15.75" customHeight="1">
      <c r="A292" s="1">
        <v>19.0</v>
      </c>
      <c r="B292" s="1">
        <v>427.0</v>
      </c>
      <c r="C292" s="1" t="s">
        <v>55</v>
      </c>
      <c r="D292" s="1" t="s">
        <v>1116</v>
      </c>
      <c r="E292" s="1" t="s">
        <v>57</v>
      </c>
      <c r="F292" s="1" t="s">
        <v>1233</v>
      </c>
      <c r="G292" s="1" t="s">
        <v>1234</v>
      </c>
      <c r="H292" s="1">
        <v>12.2162256039089</v>
      </c>
      <c r="I292" s="1" t="s">
        <v>33</v>
      </c>
      <c r="J292" s="1" t="s">
        <v>33</v>
      </c>
      <c r="K292" s="1" t="s">
        <v>33</v>
      </c>
      <c r="L292" s="1">
        <v>1.0017251623034</v>
      </c>
      <c r="M292" s="1">
        <v>68.9706061222451</v>
      </c>
      <c r="N292" s="1" t="s">
        <v>31</v>
      </c>
    </row>
    <row r="293" ht="15.75" customHeight="1">
      <c r="A293" s="1">
        <v>19.0</v>
      </c>
      <c r="B293" s="1">
        <v>428.0</v>
      </c>
      <c r="C293" s="1" t="s">
        <v>55</v>
      </c>
      <c r="D293" s="1" t="s">
        <v>1116</v>
      </c>
      <c r="E293" s="1" t="s">
        <v>57</v>
      </c>
      <c r="F293" s="1" t="s">
        <v>1235</v>
      </c>
      <c r="G293" s="1" t="s">
        <v>1236</v>
      </c>
      <c r="H293" s="1">
        <v>8.10449714677657</v>
      </c>
      <c r="I293" s="1" t="s">
        <v>33</v>
      </c>
      <c r="J293" s="1" t="s">
        <v>33</v>
      </c>
      <c r="K293" s="1" t="s">
        <v>33</v>
      </c>
      <c r="L293" s="1">
        <v>2.0943107290895</v>
      </c>
      <c r="M293" s="1">
        <v>61.8627343111216</v>
      </c>
      <c r="N293" s="1" t="s">
        <v>31</v>
      </c>
    </row>
    <row r="294" ht="15.75" customHeight="1">
      <c r="A294" s="1">
        <v>19.0</v>
      </c>
      <c r="B294" s="1">
        <v>429.0</v>
      </c>
      <c r="C294" s="1" t="s">
        <v>55</v>
      </c>
      <c r="D294" s="1" t="s">
        <v>1116</v>
      </c>
      <c r="E294" s="1" t="s">
        <v>57</v>
      </c>
      <c r="F294" s="1" t="s">
        <v>1239</v>
      </c>
      <c r="G294" s="1" t="s">
        <v>1240</v>
      </c>
      <c r="H294" s="1">
        <v>3.25341666609943</v>
      </c>
      <c r="I294" s="1" t="s">
        <v>33</v>
      </c>
      <c r="J294" s="1" t="s">
        <v>33</v>
      </c>
      <c r="K294" s="1" t="s">
        <v>33</v>
      </c>
      <c r="L294" s="1">
        <v>1.82240037627026</v>
      </c>
      <c r="M294" s="1">
        <v>45.6209490869797</v>
      </c>
      <c r="N294" s="1" t="s">
        <v>31</v>
      </c>
    </row>
    <row r="295" ht="15.75" customHeight="1">
      <c r="A295" s="1">
        <v>19.0</v>
      </c>
      <c r="B295" s="1">
        <v>430.0</v>
      </c>
      <c r="C295" s="1" t="s">
        <v>55</v>
      </c>
      <c r="D295" s="1" t="s">
        <v>1116</v>
      </c>
      <c r="E295" s="1" t="s">
        <v>57</v>
      </c>
      <c r="F295" s="1" t="s">
        <v>1244</v>
      </c>
      <c r="G295" s="1" t="s">
        <v>1245</v>
      </c>
      <c r="H295" s="1">
        <v>3.25341666609943</v>
      </c>
      <c r="I295" s="1" t="s">
        <v>33</v>
      </c>
      <c r="J295" s="1" t="s">
        <v>33</v>
      </c>
      <c r="K295" s="1" t="s">
        <v>33</v>
      </c>
      <c r="L295" s="1">
        <v>2.55505781021467</v>
      </c>
      <c r="M295" s="1">
        <v>45.9466391861083</v>
      </c>
      <c r="N295" s="1" t="s">
        <v>31</v>
      </c>
    </row>
    <row r="296" ht="15.75" customHeight="1">
      <c r="A296" s="1">
        <v>19.0</v>
      </c>
      <c r="B296" s="1">
        <v>431.0</v>
      </c>
      <c r="C296" s="1" t="s">
        <v>55</v>
      </c>
      <c r="D296" s="1" t="s">
        <v>1116</v>
      </c>
      <c r="E296" s="1" t="s">
        <v>57</v>
      </c>
      <c r="F296" s="1" t="s">
        <v>1246</v>
      </c>
      <c r="G296" s="1" t="s">
        <v>1247</v>
      </c>
      <c r="H296" s="1">
        <v>4.91294453466941</v>
      </c>
      <c r="I296" s="1" t="s">
        <v>33</v>
      </c>
      <c r="J296" s="1" t="s">
        <v>33</v>
      </c>
      <c r="K296" s="1" t="s">
        <v>33</v>
      </c>
      <c r="L296" s="1">
        <v>7.47820431692214</v>
      </c>
      <c r="M296" s="1">
        <v>53.1537452311914</v>
      </c>
      <c r="N296" s="1" t="s">
        <v>31</v>
      </c>
    </row>
    <row r="297" ht="15.75" customHeight="1">
      <c r="A297" s="1">
        <v>19.0</v>
      </c>
      <c r="B297" s="1">
        <v>432.0</v>
      </c>
      <c r="C297" s="1" t="s">
        <v>55</v>
      </c>
      <c r="D297" s="1" t="s">
        <v>1116</v>
      </c>
      <c r="E297" s="1" t="s">
        <v>57</v>
      </c>
      <c r="F297" s="1" t="s">
        <v>1251</v>
      </c>
      <c r="G297" s="1" t="s">
        <v>1252</v>
      </c>
      <c r="H297" s="1">
        <v>4.91294453466941</v>
      </c>
      <c r="I297" s="1" t="s">
        <v>33</v>
      </c>
      <c r="J297" s="1" t="s">
        <v>33</v>
      </c>
      <c r="K297" s="1" t="s">
        <v>33</v>
      </c>
      <c r="L297" s="1">
        <v>3.23730528044144</v>
      </c>
      <c r="M297" s="1">
        <v>53.7739096535431</v>
      </c>
      <c r="N297" s="1" t="s">
        <v>31</v>
      </c>
    </row>
    <row r="298" ht="15.75" customHeight="1">
      <c r="A298" s="1">
        <v>19.0</v>
      </c>
      <c r="B298" s="1">
        <v>433.0</v>
      </c>
      <c r="C298" s="1" t="s">
        <v>55</v>
      </c>
      <c r="D298" s="1" t="s">
        <v>1116</v>
      </c>
      <c r="E298" s="1" t="s">
        <v>78</v>
      </c>
      <c r="F298" s="1" t="s">
        <v>1254</v>
      </c>
      <c r="G298" s="1" t="s">
        <v>1255</v>
      </c>
      <c r="H298" s="1">
        <v>9.80582367810772</v>
      </c>
      <c r="I298" s="1" t="s">
        <v>33</v>
      </c>
      <c r="J298" s="1" t="s">
        <v>33</v>
      </c>
      <c r="K298" s="1" t="s">
        <v>33</v>
      </c>
      <c r="L298" s="1">
        <v>16.327908131319</v>
      </c>
      <c r="M298" s="1">
        <v>43.7204085000197</v>
      </c>
      <c r="N298" s="1" t="s">
        <v>31</v>
      </c>
    </row>
    <row r="299" ht="15.75" customHeight="1">
      <c r="A299" s="1">
        <v>19.0</v>
      </c>
      <c r="B299" s="1">
        <v>434.0</v>
      </c>
      <c r="C299" s="1" t="s">
        <v>55</v>
      </c>
      <c r="D299" s="1" t="s">
        <v>1116</v>
      </c>
      <c r="E299" s="1" t="s">
        <v>78</v>
      </c>
      <c r="F299" s="1" t="s">
        <v>1256</v>
      </c>
      <c r="G299" s="1" t="s">
        <v>1258</v>
      </c>
      <c r="H299" s="1">
        <v>8.06698115753396</v>
      </c>
      <c r="I299" s="1" t="s">
        <v>33</v>
      </c>
      <c r="J299" s="1" t="s">
        <v>33</v>
      </c>
      <c r="K299" s="1" t="s">
        <v>33</v>
      </c>
      <c r="L299" s="1">
        <v>7.6752983615347</v>
      </c>
      <c r="M299" s="1">
        <v>37.8050008281376</v>
      </c>
      <c r="N299" s="1" t="s">
        <v>31</v>
      </c>
    </row>
    <row r="300" ht="15.75" customHeight="1">
      <c r="A300" s="1">
        <v>19.0</v>
      </c>
      <c r="B300" s="1">
        <v>435.0</v>
      </c>
      <c r="C300" s="1" t="s">
        <v>55</v>
      </c>
      <c r="D300" s="1" t="s">
        <v>1116</v>
      </c>
      <c r="E300" s="1" t="s">
        <v>57</v>
      </c>
      <c r="F300" s="1" t="s">
        <v>1261</v>
      </c>
      <c r="G300" s="1" t="s">
        <v>1262</v>
      </c>
      <c r="H300" s="1">
        <v>2.62391253666332</v>
      </c>
      <c r="I300" s="1" t="s">
        <v>33</v>
      </c>
      <c r="J300" s="1" t="s">
        <v>33</v>
      </c>
      <c r="K300" s="1" t="s">
        <v>33</v>
      </c>
      <c r="L300" s="1">
        <v>8.73905704110375</v>
      </c>
      <c r="M300" s="1">
        <v>39.6085194858981</v>
      </c>
      <c r="N300" s="1" t="s">
        <v>31</v>
      </c>
    </row>
    <row r="301" ht="15.75" customHeight="1">
      <c r="A301" s="1">
        <v>19.0</v>
      </c>
      <c r="B301" s="1">
        <v>436.0</v>
      </c>
      <c r="C301" s="1" t="s">
        <v>55</v>
      </c>
      <c r="D301" s="1" t="s">
        <v>1116</v>
      </c>
      <c r="E301" s="1" t="s">
        <v>78</v>
      </c>
      <c r="F301" s="1" t="s">
        <v>1263</v>
      </c>
      <c r="G301" s="1" t="s">
        <v>1264</v>
      </c>
      <c r="H301" s="1">
        <v>8.06698115753396</v>
      </c>
      <c r="I301" s="1" t="s">
        <v>33</v>
      </c>
      <c r="J301" s="1" t="s">
        <v>33</v>
      </c>
      <c r="K301" s="1" t="s">
        <v>33</v>
      </c>
      <c r="L301" s="1">
        <v>6.84359703531551</v>
      </c>
      <c r="M301" s="1">
        <v>36.7994843325113</v>
      </c>
      <c r="N301" s="1" t="s">
        <v>31</v>
      </c>
    </row>
    <row r="302" ht="15.75" customHeight="1">
      <c r="A302" s="1">
        <v>19.0</v>
      </c>
      <c r="B302" s="1">
        <v>437.0</v>
      </c>
      <c r="C302" s="1" t="s">
        <v>55</v>
      </c>
      <c r="D302" s="1" t="s">
        <v>1116</v>
      </c>
      <c r="E302" s="1" t="s">
        <v>78</v>
      </c>
      <c r="F302" s="1" t="s">
        <v>1267</v>
      </c>
      <c r="G302" s="1" t="s">
        <v>1268</v>
      </c>
      <c r="H302" s="1">
        <v>5.4699386645509</v>
      </c>
      <c r="I302" s="1" t="s">
        <v>33</v>
      </c>
      <c r="J302" s="1" t="s">
        <v>33</v>
      </c>
      <c r="K302" s="1" t="s">
        <v>33</v>
      </c>
      <c r="L302" s="1">
        <v>0.184962655457</v>
      </c>
      <c r="M302" s="1">
        <v>33.3387447285743</v>
      </c>
      <c r="N302" s="1" t="s">
        <v>31</v>
      </c>
    </row>
    <row r="303" ht="15.75" customHeight="1">
      <c r="A303" s="1">
        <v>19.0</v>
      </c>
      <c r="B303" s="1">
        <v>438.0</v>
      </c>
      <c r="C303" s="1" t="s">
        <v>55</v>
      </c>
      <c r="D303" s="1" t="s">
        <v>1116</v>
      </c>
      <c r="E303" s="1" t="s">
        <v>78</v>
      </c>
      <c r="F303" s="1" t="s">
        <v>1269</v>
      </c>
      <c r="G303" s="1" t="s">
        <v>1270</v>
      </c>
      <c r="H303" s="1">
        <v>9.80582367810772</v>
      </c>
      <c r="I303" s="1" t="s">
        <v>33</v>
      </c>
      <c r="J303" s="1" t="s">
        <v>33</v>
      </c>
      <c r="K303" s="1" t="s">
        <v>33</v>
      </c>
      <c r="L303" s="1">
        <v>26.1264150728846</v>
      </c>
      <c r="M303" s="1">
        <v>53.4521179778523</v>
      </c>
      <c r="N303" s="1" t="s">
        <v>31</v>
      </c>
    </row>
    <row r="304" ht="15.75" customHeight="1">
      <c r="A304" s="1">
        <v>19.0</v>
      </c>
      <c r="B304" s="1">
        <v>439.0</v>
      </c>
      <c r="C304" s="1" t="s">
        <v>55</v>
      </c>
      <c r="D304" s="1" t="s">
        <v>1116</v>
      </c>
      <c r="E304" s="1" t="s">
        <v>78</v>
      </c>
      <c r="F304" s="1" t="s">
        <v>1274</v>
      </c>
      <c r="G304" s="1" t="s">
        <v>1275</v>
      </c>
      <c r="H304" s="1">
        <v>4.11049826603809</v>
      </c>
      <c r="I304" s="1" t="s">
        <v>33</v>
      </c>
      <c r="J304" s="1" t="s">
        <v>33</v>
      </c>
      <c r="K304" s="1" t="s">
        <v>33</v>
      </c>
      <c r="L304" s="1">
        <v>41.3139171418104</v>
      </c>
      <c r="M304" s="1">
        <v>72.6770581635377</v>
      </c>
      <c r="N304" s="1" t="s">
        <v>31</v>
      </c>
    </row>
    <row r="305" ht="15.75" customHeight="1">
      <c r="A305" s="1">
        <v>19.0</v>
      </c>
      <c r="B305" s="1">
        <v>440.0</v>
      </c>
      <c r="C305" s="1" t="s">
        <v>55</v>
      </c>
      <c r="D305" s="1" t="s">
        <v>1116</v>
      </c>
      <c r="E305" s="1" t="s">
        <v>57</v>
      </c>
      <c r="F305" s="1" t="s">
        <v>1279</v>
      </c>
      <c r="G305" s="1" t="s">
        <v>1280</v>
      </c>
      <c r="H305" s="1">
        <v>7.31223303775706</v>
      </c>
      <c r="I305" s="1" t="s">
        <v>33</v>
      </c>
      <c r="J305" s="1" t="s">
        <v>33</v>
      </c>
      <c r="K305" s="1" t="s">
        <v>33</v>
      </c>
      <c r="L305" s="1">
        <v>7.13610251816799</v>
      </c>
      <c r="M305" s="1">
        <v>43.4952342573883</v>
      </c>
      <c r="N305" s="1" t="s">
        <v>31</v>
      </c>
    </row>
    <row r="306" ht="15.75" customHeight="1">
      <c r="A306" s="1">
        <v>19.0</v>
      </c>
      <c r="B306" s="1">
        <v>441.0</v>
      </c>
      <c r="C306" s="1" t="s">
        <v>55</v>
      </c>
      <c r="D306" s="1" t="s">
        <v>1116</v>
      </c>
      <c r="E306" s="1" t="s">
        <v>57</v>
      </c>
      <c r="F306" s="1" t="s">
        <v>1282</v>
      </c>
      <c r="G306" s="1" t="s">
        <v>1283</v>
      </c>
      <c r="H306" s="1">
        <v>2.62391253666332</v>
      </c>
      <c r="I306" s="1" t="s">
        <v>33</v>
      </c>
      <c r="J306" s="1" t="s">
        <v>33</v>
      </c>
      <c r="K306" s="1" t="s">
        <v>33</v>
      </c>
      <c r="L306" s="1">
        <v>6.85150517773711</v>
      </c>
      <c r="M306" s="1">
        <v>41.9819625224112</v>
      </c>
      <c r="N306" s="1" t="s">
        <v>31</v>
      </c>
    </row>
    <row r="307" ht="15.75" customHeight="1">
      <c r="A307" s="1">
        <v>19.0</v>
      </c>
      <c r="B307" s="1">
        <v>442.0</v>
      </c>
      <c r="C307" s="1" t="s">
        <v>55</v>
      </c>
      <c r="D307" s="1" t="s">
        <v>1116</v>
      </c>
      <c r="E307" s="1" t="s">
        <v>57</v>
      </c>
      <c r="F307" s="1" t="s">
        <v>1286</v>
      </c>
      <c r="G307" s="1" t="s">
        <v>1287</v>
      </c>
      <c r="H307" s="1">
        <v>7.31223303775706</v>
      </c>
      <c r="I307" s="1" t="s">
        <v>33</v>
      </c>
      <c r="J307" s="1" t="s">
        <v>33</v>
      </c>
      <c r="K307" s="1" t="s">
        <v>33</v>
      </c>
      <c r="L307" s="1">
        <v>2.34168728385564</v>
      </c>
      <c r="M307" s="1">
        <v>36.2082044421679</v>
      </c>
      <c r="N307" s="1" t="s">
        <v>31</v>
      </c>
    </row>
    <row r="308" ht="15.75" customHeight="1">
      <c r="A308" s="1">
        <v>19.0</v>
      </c>
      <c r="B308" s="1">
        <v>443.0</v>
      </c>
      <c r="C308" s="1" t="s">
        <v>55</v>
      </c>
      <c r="D308" s="1" t="s">
        <v>1116</v>
      </c>
      <c r="E308" s="1" t="s">
        <v>57</v>
      </c>
      <c r="F308" s="1" t="s">
        <v>1289</v>
      </c>
      <c r="G308" s="1" t="s">
        <v>1290</v>
      </c>
      <c r="H308" s="1">
        <v>3.01515588347102</v>
      </c>
      <c r="I308" s="1" t="s">
        <v>33</v>
      </c>
      <c r="J308" s="1" t="s">
        <v>33</v>
      </c>
      <c r="K308" s="1" t="s">
        <v>33</v>
      </c>
      <c r="L308" s="1">
        <v>7.627371069215</v>
      </c>
      <c r="M308" s="1">
        <v>55.0822368515782</v>
      </c>
      <c r="N308" s="1" t="s">
        <v>31</v>
      </c>
    </row>
    <row r="309" ht="15.75" customHeight="1">
      <c r="A309" s="1">
        <v>19.0</v>
      </c>
      <c r="B309" s="1">
        <v>444.0</v>
      </c>
      <c r="C309" s="1" t="s">
        <v>55</v>
      </c>
      <c r="D309" s="1" t="s">
        <v>1116</v>
      </c>
      <c r="E309" s="1" t="s">
        <v>78</v>
      </c>
      <c r="F309" s="1" t="s">
        <v>1291</v>
      </c>
      <c r="G309" s="1" t="s">
        <v>1293</v>
      </c>
      <c r="H309" s="1">
        <v>8.26873750939222</v>
      </c>
      <c r="I309" s="1" t="s">
        <v>33</v>
      </c>
      <c r="J309" s="1" t="s">
        <v>33</v>
      </c>
      <c r="K309" s="1" t="s">
        <v>33</v>
      </c>
      <c r="L309" s="1">
        <v>18.8149622262808</v>
      </c>
      <c r="M309" s="1">
        <v>22.2356892140144</v>
      </c>
      <c r="N309" s="1" t="s">
        <v>31</v>
      </c>
    </row>
    <row r="310" ht="15.75" customHeight="1">
      <c r="A310" s="1">
        <v>19.0</v>
      </c>
      <c r="B310" s="1">
        <v>445.0</v>
      </c>
      <c r="C310" s="1" t="s">
        <v>55</v>
      </c>
      <c r="D310" s="1" t="s">
        <v>1116</v>
      </c>
      <c r="E310" s="1" t="s">
        <v>57</v>
      </c>
      <c r="F310" s="1" t="s">
        <v>1296</v>
      </c>
      <c r="G310" s="1" t="s">
        <v>1298</v>
      </c>
      <c r="H310" s="1">
        <v>7.38862131938141</v>
      </c>
      <c r="I310" s="1" t="s">
        <v>33</v>
      </c>
      <c r="J310" s="1" t="s">
        <v>33</v>
      </c>
      <c r="K310" s="1" t="s">
        <v>33</v>
      </c>
      <c r="L310" s="1">
        <v>12.3377455963946</v>
      </c>
      <c r="M310" s="1">
        <v>61.2277839835811</v>
      </c>
      <c r="N310" s="1" t="s">
        <v>31</v>
      </c>
    </row>
    <row r="311" ht="15.75" customHeight="1">
      <c r="A311" s="1">
        <v>20.0</v>
      </c>
      <c r="B311" s="1">
        <v>105.0</v>
      </c>
      <c r="C311" s="1" t="s">
        <v>55</v>
      </c>
      <c r="D311" s="1" t="s">
        <v>178</v>
      </c>
      <c r="E311" s="1" t="s">
        <v>57</v>
      </c>
      <c r="F311" s="1" t="s">
        <v>1299</v>
      </c>
      <c r="G311" s="1" t="s">
        <v>1301</v>
      </c>
      <c r="H311" s="1">
        <v>5.61952711512151</v>
      </c>
      <c r="I311" s="1">
        <v>28.0560094280868</v>
      </c>
      <c r="J311" s="1" t="s">
        <v>33</v>
      </c>
      <c r="K311" s="1">
        <v>37.2207667843315</v>
      </c>
      <c r="L311" s="1">
        <v>32.0402308279209</v>
      </c>
      <c r="M311" s="1">
        <v>39.1010034206141</v>
      </c>
      <c r="N311" s="1" t="s">
        <v>36</v>
      </c>
    </row>
    <row r="312" ht="15.75" customHeight="1">
      <c r="A312" s="1">
        <v>20.0</v>
      </c>
      <c r="B312" s="1">
        <v>106.0</v>
      </c>
      <c r="C312" s="1" t="s">
        <v>55</v>
      </c>
      <c r="D312" s="1" t="s">
        <v>178</v>
      </c>
      <c r="E312" s="1" t="s">
        <v>57</v>
      </c>
      <c r="F312" s="1" t="s">
        <v>1303</v>
      </c>
      <c r="G312" s="1" t="s">
        <v>1304</v>
      </c>
      <c r="H312" s="1">
        <v>4.00341216936404</v>
      </c>
      <c r="I312" s="1">
        <v>32.5478605444297</v>
      </c>
      <c r="J312" s="1" t="s">
        <v>33</v>
      </c>
      <c r="K312" s="1">
        <v>42.83637259383</v>
      </c>
      <c r="L312" s="1">
        <v>27.8041299854879</v>
      </c>
      <c r="M312" s="1">
        <v>36.8073591929527</v>
      </c>
      <c r="N312" s="1" t="s">
        <v>36</v>
      </c>
    </row>
    <row r="313" ht="15.75" customHeight="1">
      <c r="A313" s="1">
        <v>20.0</v>
      </c>
      <c r="B313" s="1">
        <v>107.0</v>
      </c>
      <c r="C313" s="1" t="s">
        <v>55</v>
      </c>
      <c r="D313" s="1" t="s">
        <v>178</v>
      </c>
      <c r="E313" s="1" t="s">
        <v>57</v>
      </c>
      <c r="F313" s="1" t="s">
        <v>1306</v>
      </c>
      <c r="G313" s="1" t="s">
        <v>1307</v>
      </c>
      <c r="H313" s="1">
        <v>4.00341216936404</v>
      </c>
      <c r="I313" s="1">
        <v>36.4209835807143</v>
      </c>
      <c r="J313" s="1" t="s">
        <v>33</v>
      </c>
      <c r="K313" s="1">
        <v>46.6918413857543</v>
      </c>
      <c r="L313" s="1">
        <v>25.7664409971824</v>
      </c>
      <c r="M313" s="1">
        <v>36.4053400667585</v>
      </c>
      <c r="N313" s="1" t="s">
        <v>36</v>
      </c>
    </row>
    <row r="314" ht="15.75" customHeight="1">
      <c r="A314" s="1">
        <v>20.0</v>
      </c>
      <c r="B314" s="1">
        <v>108.0</v>
      </c>
      <c r="C314" s="1" t="s">
        <v>55</v>
      </c>
      <c r="D314" s="1" t="s">
        <v>178</v>
      </c>
      <c r="E314" s="1" t="s">
        <v>57</v>
      </c>
      <c r="F314" s="1" t="s">
        <v>1308</v>
      </c>
      <c r="G314" s="1" t="s">
        <v>1310</v>
      </c>
      <c r="H314" s="1">
        <v>4.56689883862548</v>
      </c>
      <c r="I314" s="1">
        <v>84.3693596098137</v>
      </c>
      <c r="J314" s="1" t="s">
        <v>33</v>
      </c>
      <c r="K314" s="1">
        <v>141.728392815383</v>
      </c>
      <c r="L314" s="1">
        <v>1.07327594518374</v>
      </c>
      <c r="M314" s="1">
        <v>51.2730147457307</v>
      </c>
      <c r="N314" s="1" t="s">
        <v>36</v>
      </c>
    </row>
    <row r="315" ht="15.75" customHeight="1">
      <c r="A315" s="1">
        <v>20.0</v>
      </c>
      <c r="B315" s="1">
        <v>109.0</v>
      </c>
      <c r="C315" s="1" t="s">
        <v>55</v>
      </c>
      <c r="D315" s="1" t="s">
        <v>178</v>
      </c>
      <c r="E315" s="1" t="s">
        <v>57</v>
      </c>
      <c r="F315" s="1" t="s">
        <v>1312</v>
      </c>
      <c r="G315" s="1" t="s">
        <v>1313</v>
      </c>
      <c r="H315" s="1">
        <v>4.56689883862548</v>
      </c>
      <c r="I315" s="1">
        <v>81.4185435512432</v>
      </c>
      <c r="J315" s="1" t="s">
        <v>33</v>
      </c>
      <c r="K315" s="1">
        <v>145.528523063371</v>
      </c>
      <c r="L315" s="1">
        <v>2.8949816604953</v>
      </c>
      <c r="M315" s="1">
        <v>54.8670473694953</v>
      </c>
      <c r="N315" s="1" t="s">
        <v>36</v>
      </c>
    </row>
    <row r="316" ht="15.75" customHeight="1">
      <c r="A316" s="1">
        <v>20.0</v>
      </c>
      <c r="B316" s="1">
        <v>110.0</v>
      </c>
      <c r="C316" s="1" t="s">
        <v>55</v>
      </c>
      <c r="D316" s="1" t="s">
        <v>178</v>
      </c>
      <c r="E316" s="1" t="s">
        <v>57</v>
      </c>
      <c r="F316" s="1" t="s">
        <v>1314</v>
      </c>
      <c r="G316" s="1" t="s">
        <v>1315</v>
      </c>
      <c r="H316" s="1">
        <v>28.5617152494648</v>
      </c>
      <c r="I316" s="1">
        <v>42.7839903817404</v>
      </c>
      <c r="J316" s="1" t="s">
        <v>33</v>
      </c>
      <c r="K316" s="1">
        <v>186.199652335978</v>
      </c>
      <c r="L316" s="1">
        <v>0.278340334956315</v>
      </c>
      <c r="M316" s="1">
        <v>49.7320372645155</v>
      </c>
      <c r="N316" s="1" t="s">
        <v>36</v>
      </c>
    </row>
    <row r="317" ht="15.75" customHeight="1">
      <c r="A317" s="1">
        <v>20.0</v>
      </c>
      <c r="B317" s="1">
        <v>111.0</v>
      </c>
      <c r="C317" s="1" t="s">
        <v>55</v>
      </c>
      <c r="D317" s="1" t="s">
        <v>178</v>
      </c>
      <c r="E317" s="1" t="s">
        <v>57</v>
      </c>
      <c r="F317" s="1" t="s">
        <v>1317</v>
      </c>
      <c r="G317" s="1" t="s">
        <v>1318</v>
      </c>
      <c r="H317" s="1">
        <v>28.5617152494648</v>
      </c>
      <c r="I317" s="1">
        <v>34.142395887571</v>
      </c>
      <c r="J317" s="1" t="s">
        <v>33</v>
      </c>
      <c r="K317" s="1">
        <v>212.740929705688</v>
      </c>
      <c r="L317" s="1">
        <v>11.0195168418713</v>
      </c>
      <c r="M317" s="1">
        <v>56.4864988158453</v>
      </c>
      <c r="N317" s="1" t="s">
        <v>36</v>
      </c>
    </row>
    <row r="318" ht="15.75" customHeight="1">
      <c r="A318" s="1">
        <v>20.0</v>
      </c>
      <c r="B318" s="1">
        <v>112.0</v>
      </c>
      <c r="C318" s="1" t="s">
        <v>55</v>
      </c>
      <c r="D318" s="1" t="s">
        <v>178</v>
      </c>
      <c r="E318" s="1" t="s">
        <v>57</v>
      </c>
      <c r="F318" s="1" t="s">
        <v>1320</v>
      </c>
      <c r="G318" s="1" t="s">
        <v>1322</v>
      </c>
      <c r="H318" s="1">
        <v>31.2521214957166</v>
      </c>
      <c r="I318" s="1">
        <v>2.9125207290257</v>
      </c>
      <c r="J318" s="1" t="s">
        <v>33</v>
      </c>
      <c r="K318" s="1">
        <v>222.954183567014</v>
      </c>
      <c r="L318" s="1">
        <v>14.9695504431856</v>
      </c>
      <c r="M318" s="1">
        <v>27.7904915328699</v>
      </c>
      <c r="N318" s="1" t="s">
        <v>36</v>
      </c>
    </row>
    <row r="319" ht="15.75" customHeight="1">
      <c r="A319" s="1">
        <v>20.0</v>
      </c>
      <c r="B319" s="1">
        <v>113.0</v>
      </c>
      <c r="C319" s="1" t="s">
        <v>74</v>
      </c>
      <c r="D319" s="1" t="s">
        <v>178</v>
      </c>
      <c r="E319" s="1" t="s">
        <v>57</v>
      </c>
      <c r="F319" s="1" t="s">
        <v>1324</v>
      </c>
      <c r="G319" s="1" t="s">
        <v>1325</v>
      </c>
      <c r="H319" s="1">
        <v>2.9125207290257</v>
      </c>
      <c r="I319" s="1">
        <v>4.20462816432032</v>
      </c>
      <c r="J319" s="1" t="s">
        <v>33</v>
      </c>
      <c r="K319" s="1">
        <v>224.43883333563</v>
      </c>
      <c r="L319" s="1">
        <v>16.9913145883358</v>
      </c>
      <c r="M319" s="1">
        <v>25.2872572126288</v>
      </c>
      <c r="N319" s="1" t="s">
        <v>36</v>
      </c>
    </row>
    <row r="320" ht="15.75" customHeight="1">
      <c r="A320" s="1">
        <v>20.0</v>
      </c>
      <c r="B320" s="1">
        <v>114.0</v>
      </c>
      <c r="C320" s="1" t="s">
        <v>74</v>
      </c>
      <c r="D320" s="1" t="s">
        <v>178</v>
      </c>
      <c r="E320" s="1" t="s">
        <v>57</v>
      </c>
      <c r="F320" s="1" t="s">
        <v>1326</v>
      </c>
      <c r="G320" s="1" t="s">
        <v>1327</v>
      </c>
      <c r="H320" s="1">
        <v>6.36768128914378</v>
      </c>
      <c r="I320" s="1">
        <v>4.20462816432032</v>
      </c>
      <c r="J320" s="1" t="s">
        <v>33</v>
      </c>
      <c r="K320" s="1">
        <v>228.627739666573</v>
      </c>
      <c r="L320" s="1">
        <v>16.2561604749978</v>
      </c>
      <c r="M320" s="1">
        <v>24.9041801209398</v>
      </c>
      <c r="N320" s="1" t="s">
        <v>36</v>
      </c>
    </row>
    <row r="321" ht="15.75" customHeight="1">
      <c r="A321" s="1">
        <v>20.0</v>
      </c>
      <c r="B321" s="1">
        <v>115.0</v>
      </c>
      <c r="C321" s="1" t="s">
        <v>179</v>
      </c>
      <c r="D321" s="1" t="s">
        <v>178</v>
      </c>
      <c r="E321" s="1" t="s">
        <v>57</v>
      </c>
      <c r="F321" s="1" t="s">
        <v>1329</v>
      </c>
      <c r="G321" s="1" t="s">
        <v>1330</v>
      </c>
      <c r="H321" s="1">
        <v>4.68152934472231</v>
      </c>
      <c r="I321" s="1">
        <v>22.9308814708546</v>
      </c>
      <c r="J321" s="1" t="s">
        <v>33</v>
      </c>
      <c r="K321" s="1" t="s">
        <v>33</v>
      </c>
      <c r="L321" s="1">
        <v>62.0137182475045</v>
      </c>
      <c r="M321" s="1">
        <v>57.992503809835</v>
      </c>
      <c r="N321" s="1" t="s">
        <v>36</v>
      </c>
    </row>
    <row r="322" ht="15.75" customHeight="1">
      <c r="A322" s="1">
        <v>20.0</v>
      </c>
      <c r="B322" s="1">
        <v>116.0</v>
      </c>
      <c r="C322" s="1" t="s">
        <v>74</v>
      </c>
      <c r="D322" s="1" t="s">
        <v>178</v>
      </c>
      <c r="E322" s="1" t="s">
        <v>57</v>
      </c>
      <c r="F322" s="1" t="s">
        <v>1333</v>
      </c>
      <c r="G322" s="1" t="s">
        <v>1334</v>
      </c>
      <c r="H322" s="1">
        <v>2.47815173074346</v>
      </c>
      <c r="I322" s="1">
        <v>206.905250508457</v>
      </c>
      <c r="J322" s="1" t="s">
        <v>33</v>
      </c>
      <c r="K322" s="1">
        <v>22.9308814708546</v>
      </c>
      <c r="L322" s="1">
        <v>41.8957368752961</v>
      </c>
      <c r="M322" s="1">
        <v>35.0767053170257</v>
      </c>
      <c r="N322" s="1" t="s">
        <v>36</v>
      </c>
    </row>
    <row r="323" ht="15.75" customHeight="1">
      <c r="A323" s="1">
        <v>20.0</v>
      </c>
      <c r="B323" s="1">
        <v>117.0</v>
      </c>
      <c r="C323" s="1" t="s">
        <v>55</v>
      </c>
      <c r="D323" s="1" t="s">
        <v>178</v>
      </c>
      <c r="E323" s="1" t="s">
        <v>57</v>
      </c>
      <c r="F323" s="1" t="s">
        <v>1336</v>
      </c>
      <c r="G323" s="1" t="s">
        <v>1337</v>
      </c>
      <c r="H323" s="1">
        <v>6.30539197826706</v>
      </c>
      <c r="I323" s="1">
        <v>30.4956330645388</v>
      </c>
      <c r="J323" s="1" t="s">
        <v>33</v>
      </c>
      <c r="K323" s="1">
        <v>33.5313479158021</v>
      </c>
      <c r="L323" s="1">
        <v>67.9652859662837</v>
      </c>
      <c r="M323" s="1">
        <v>41.057406872626</v>
      </c>
      <c r="N323" s="1" t="s">
        <v>36</v>
      </c>
    </row>
    <row r="324" ht="15.75" customHeight="1">
      <c r="A324" s="1">
        <v>20.0</v>
      </c>
      <c r="B324" s="1">
        <v>118.0</v>
      </c>
      <c r="C324" s="1" t="s">
        <v>55</v>
      </c>
      <c r="D324" s="1" t="s">
        <v>178</v>
      </c>
      <c r="E324" s="1" t="s">
        <v>57</v>
      </c>
      <c r="F324" s="1" t="s">
        <v>1338</v>
      </c>
      <c r="G324" s="1" t="s">
        <v>1339</v>
      </c>
      <c r="H324" s="1">
        <v>9.56127298052594</v>
      </c>
      <c r="I324" s="1">
        <v>22.7485250729173</v>
      </c>
      <c r="J324" s="1" t="s">
        <v>33</v>
      </c>
      <c r="K324" s="1">
        <v>22.974307606517</v>
      </c>
      <c r="L324" s="1">
        <v>63.258081182937</v>
      </c>
      <c r="M324" s="1">
        <v>45.5924405374459</v>
      </c>
      <c r="N324" s="1" t="s">
        <v>36</v>
      </c>
    </row>
    <row r="325" ht="15.75" customHeight="1">
      <c r="A325" s="1">
        <v>20.0</v>
      </c>
      <c r="B325" s="1">
        <v>119.0</v>
      </c>
      <c r="C325" s="1" t="s">
        <v>55</v>
      </c>
      <c r="D325" s="1" t="s">
        <v>178</v>
      </c>
      <c r="E325" s="1" t="s">
        <v>57</v>
      </c>
      <c r="F325" s="1" t="s">
        <v>1342</v>
      </c>
      <c r="G325" s="1" t="s">
        <v>1343</v>
      </c>
      <c r="H325" s="1">
        <v>6.30539197826706</v>
      </c>
      <c r="I325" s="1">
        <v>25.0326712117877</v>
      </c>
      <c r="J325" s="1" t="s">
        <v>33</v>
      </c>
      <c r="K325" s="1">
        <v>31.7654402933363</v>
      </c>
      <c r="L325" s="1">
        <v>61.670028759148</v>
      </c>
      <c r="M325" s="1">
        <v>37.3011257735915</v>
      </c>
      <c r="N325" s="1" t="s">
        <v>36</v>
      </c>
    </row>
    <row r="326" ht="15.75" customHeight="1">
      <c r="A326" s="1">
        <v>20.0</v>
      </c>
      <c r="B326" s="1">
        <v>120.0</v>
      </c>
      <c r="C326" s="1" t="s">
        <v>55</v>
      </c>
      <c r="D326" s="1" t="s">
        <v>178</v>
      </c>
      <c r="E326" s="1" t="s">
        <v>57</v>
      </c>
      <c r="F326" s="1" t="s">
        <v>1345</v>
      </c>
      <c r="G326" s="1" t="s">
        <v>1347</v>
      </c>
      <c r="H326" s="1">
        <v>2.9740965016959</v>
      </c>
      <c r="I326" s="1">
        <v>2.47815173074346</v>
      </c>
      <c r="J326" s="1" t="s">
        <v>33</v>
      </c>
      <c r="K326" s="1">
        <v>21.5803617444269</v>
      </c>
      <c r="L326" s="1">
        <v>41.9766462890573</v>
      </c>
      <c r="M326" s="1">
        <v>36.5934306608542</v>
      </c>
      <c r="N326" s="1" t="s">
        <v>36</v>
      </c>
    </row>
    <row r="327" ht="15.75" customHeight="1">
      <c r="A327" s="1">
        <v>20.0</v>
      </c>
      <c r="B327" s="1">
        <v>121.0</v>
      </c>
      <c r="C327" s="1" t="s">
        <v>55</v>
      </c>
      <c r="D327" s="1" t="s">
        <v>178</v>
      </c>
      <c r="E327" s="1" t="s">
        <v>57</v>
      </c>
      <c r="F327" s="1" t="s">
        <v>1348</v>
      </c>
      <c r="G327" s="1" t="s">
        <v>1349</v>
      </c>
      <c r="H327" s="1">
        <v>2.9740965016959</v>
      </c>
      <c r="I327" s="1">
        <v>4.4569794710513</v>
      </c>
      <c r="J327" s="1" t="s">
        <v>33</v>
      </c>
      <c r="K327" s="1">
        <v>18.6693008172683</v>
      </c>
      <c r="L327" s="1">
        <v>44.8461733248058</v>
      </c>
      <c r="M327" s="1">
        <v>39.4152919748261</v>
      </c>
      <c r="N327" s="1" t="s">
        <v>36</v>
      </c>
    </row>
    <row r="328" ht="15.75" customHeight="1">
      <c r="A328" s="1">
        <v>20.0</v>
      </c>
      <c r="B328" s="1">
        <v>122.0</v>
      </c>
      <c r="C328" s="1" t="s">
        <v>55</v>
      </c>
      <c r="D328" s="1" t="s">
        <v>178</v>
      </c>
      <c r="E328" s="1" t="s">
        <v>57</v>
      </c>
      <c r="F328" s="1" t="s">
        <v>1350</v>
      </c>
      <c r="G328" s="1" t="s">
        <v>1351</v>
      </c>
      <c r="H328" s="1">
        <v>5.49376173456389</v>
      </c>
      <c r="I328" s="1">
        <v>10.3696261265337</v>
      </c>
      <c r="J328" s="1" t="s">
        <v>33</v>
      </c>
      <c r="K328" s="1">
        <v>16.321650805243</v>
      </c>
      <c r="L328" s="1">
        <v>45.6939599214097</v>
      </c>
      <c r="M328" s="1">
        <v>43.3120363662304</v>
      </c>
      <c r="N328" s="1" t="s">
        <v>36</v>
      </c>
    </row>
    <row r="329" ht="15.75" customHeight="1">
      <c r="A329" s="1">
        <v>20.0</v>
      </c>
      <c r="B329" s="1">
        <v>123.0</v>
      </c>
      <c r="C329" s="1" t="s">
        <v>55</v>
      </c>
      <c r="D329" s="1" t="s">
        <v>178</v>
      </c>
      <c r="E329" s="1" t="s">
        <v>57</v>
      </c>
      <c r="F329" s="1" t="s">
        <v>1352</v>
      </c>
      <c r="G329" s="1" t="s">
        <v>1353</v>
      </c>
      <c r="H329" s="1">
        <v>4.66838837300892</v>
      </c>
      <c r="I329" s="1">
        <v>9.04542359498302</v>
      </c>
      <c r="J329" s="1" t="s">
        <v>33</v>
      </c>
      <c r="K329" s="1">
        <v>14.0142016897379</v>
      </c>
      <c r="L329" s="1">
        <v>48.899393457323</v>
      </c>
      <c r="M329" s="1">
        <v>44.0809830156277</v>
      </c>
      <c r="N329" s="1" t="s">
        <v>36</v>
      </c>
    </row>
    <row r="330" ht="15.75" customHeight="1">
      <c r="A330" s="1">
        <v>20.0</v>
      </c>
      <c r="B330" s="1">
        <v>124.0</v>
      </c>
      <c r="C330" s="1" t="s">
        <v>55</v>
      </c>
      <c r="D330" s="1" t="s">
        <v>178</v>
      </c>
      <c r="E330" s="1" t="s">
        <v>57</v>
      </c>
      <c r="F330" s="1" t="s">
        <v>1354</v>
      </c>
      <c r="G330" s="1" t="s">
        <v>1355</v>
      </c>
      <c r="H330" s="1">
        <v>9.51758477730335</v>
      </c>
      <c r="I330" s="1">
        <v>18.3119612277272</v>
      </c>
      <c r="J330" s="1" t="s">
        <v>33</v>
      </c>
      <c r="K330" s="1">
        <v>4.68152934472231</v>
      </c>
      <c r="L330" s="1">
        <v>58.0718336384088</v>
      </c>
      <c r="M330" s="1">
        <v>53.3392087601374</v>
      </c>
      <c r="N330" s="1" t="s">
        <v>36</v>
      </c>
    </row>
    <row r="331" ht="15.75" customHeight="1">
      <c r="A331" s="1">
        <v>21.0</v>
      </c>
      <c r="B331" s="1">
        <v>143.0</v>
      </c>
      <c r="C331" s="1" t="s">
        <v>74</v>
      </c>
      <c r="D331" s="1" t="s">
        <v>185</v>
      </c>
      <c r="E331" s="1" t="s">
        <v>98</v>
      </c>
      <c r="F331" s="1" t="s">
        <v>1356</v>
      </c>
      <c r="G331" s="1" t="s">
        <v>1357</v>
      </c>
      <c r="H331" s="1">
        <v>520.335966640389</v>
      </c>
      <c r="I331" s="1">
        <v>520.335966640389</v>
      </c>
      <c r="J331" s="1" t="s">
        <v>33</v>
      </c>
      <c r="K331" s="1" t="s">
        <v>33</v>
      </c>
      <c r="L331" s="1">
        <v>21.0349744018178</v>
      </c>
      <c r="M331" s="1">
        <v>4.13449113033485</v>
      </c>
      <c r="N331" s="1" t="s">
        <v>31</v>
      </c>
    </row>
    <row r="332" ht="15.75" customHeight="1">
      <c r="A332" s="1">
        <v>21.0</v>
      </c>
      <c r="B332" s="1">
        <v>144.0</v>
      </c>
      <c r="C332" s="1" t="s">
        <v>55</v>
      </c>
      <c r="D332" s="1" t="s">
        <v>185</v>
      </c>
      <c r="E332" s="1" t="s">
        <v>98</v>
      </c>
      <c r="F332" s="1" t="s">
        <v>1360</v>
      </c>
      <c r="G332" s="1" t="s">
        <v>1361</v>
      </c>
      <c r="H332" s="1">
        <v>28.224388035593</v>
      </c>
      <c r="I332" s="1">
        <v>53.0220159937263</v>
      </c>
      <c r="J332" s="1" t="s">
        <v>33</v>
      </c>
      <c r="K332" s="1" t="s">
        <v>33</v>
      </c>
      <c r="L332" s="1">
        <v>7.54824761265537</v>
      </c>
      <c r="M332" s="1">
        <v>34.089313298702</v>
      </c>
      <c r="N332" s="1" t="s">
        <v>31</v>
      </c>
    </row>
    <row r="333" ht="15.75" customHeight="1">
      <c r="A333" s="1">
        <v>21.0</v>
      </c>
      <c r="B333" s="1">
        <v>145.0</v>
      </c>
      <c r="C333" s="1" t="s">
        <v>55</v>
      </c>
      <c r="D333" s="1" t="s">
        <v>185</v>
      </c>
      <c r="E333" s="1" t="s">
        <v>98</v>
      </c>
      <c r="F333" s="1" t="s">
        <v>1363</v>
      </c>
      <c r="G333" s="1" t="s">
        <v>1364</v>
      </c>
      <c r="H333" s="1">
        <v>28.224388035593</v>
      </c>
      <c r="I333" s="1">
        <v>58.342008776143</v>
      </c>
      <c r="J333" s="1" t="s">
        <v>33</v>
      </c>
      <c r="K333" s="1" t="s">
        <v>33</v>
      </c>
      <c r="L333" s="1">
        <v>10.6607110002283</v>
      </c>
      <c r="M333" s="1">
        <v>48.7495537247935</v>
      </c>
      <c r="N333" s="1" t="s">
        <v>31</v>
      </c>
    </row>
    <row r="334" ht="15.75" customHeight="1">
      <c r="A334" s="1">
        <v>21.0</v>
      </c>
      <c r="B334" s="1">
        <v>146.0</v>
      </c>
      <c r="C334" s="1" t="s">
        <v>55</v>
      </c>
      <c r="D334" s="1" t="s">
        <v>185</v>
      </c>
      <c r="E334" s="1" t="s">
        <v>57</v>
      </c>
      <c r="F334" s="1" t="s">
        <v>1366</v>
      </c>
      <c r="G334" s="1" t="s">
        <v>1368</v>
      </c>
      <c r="H334" s="1">
        <v>53.0220159937263</v>
      </c>
      <c r="I334" s="1">
        <v>0.0</v>
      </c>
      <c r="J334" s="1" t="s">
        <v>33</v>
      </c>
      <c r="K334" s="1" t="s">
        <v>33</v>
      </c>
      <c r="L334" s="1">
        <v>39.3134940661621</v>
      </c>
      <c r="M334" s="1">
        <v>5.98182896947177</v>
      </c>
      <c r="N334" s="1" t="s">
        <v>31</v>
      </c>
    </row>
    <row r="335" ht="15.75" customHeight="1">
      <c r="A335" s="1">
        <v>21.0</v>
      </c>
      <c r="B335" s="1">
        <v>147.0</v>
      </c>
      <c r="C335" s="1" t="s">
        <v>74</v>
      </c>
      <c r="D335" s="1" t="s">
        <v>185</v>
      </c>
      <c r="E335" s="1" t="s">
        <v>57</v>
      </c>
      <c r="F335" s="1" t="s">
        <v>1366</v>
      </c>
      <c r="G335" s="1" t="s">
        <v>1368</v>
      </c>
      <c r="H335" s="1">
        <v>0.0</v>
      </c>
      <c r="I335" s="1">
        <v>520.335966640389</v>
      </c>
      <c r="J335" s="1" t="s">
        <v>33</v>
      </c>
      <c r="K335" s="1" t="s">
        <v>33</v>
      </c>
      <c r="L335" s="1">
        <v>39.3134940661621</v>
      </c>
      <c r="M335" s="1">
        <v>5.98182896947177</v>
      </c>
      <c r="N335" s="1" t="s">
        <v>31</v>
      </c>
    </row>
    <row r="336" ht="15.75" customHeight="1">
      <c r="A336" s="1">
        <v>24.0</v>
      </c>
      <c r="B336" s="1">
        <v>148.0</v>
      </c>
      <c r="C336" s="1" t="s">
        <v>55</v>
      </c>
      <c r="D336" s="1" t="s">
        <v>1371</v>
      </c>
      <c r="E336" s="1" t="s">
        <v>98</v>
      </c>
      <c r="F336" s="1" t="s">
        <v>1373</v>
      </c>
      <c r="G336" s="1" t="s">
        <v>1375</v>
      </c>
      <c r="H336" s="1">
        <v>23.6679976762446</v>
      </c>
      <c r="I336" s="1">
        <v>10.0716518015135</v>
      </c>
      <c r="J336" s="1" t="s">
        <v>33</v>
      </c>
      <c r="K336" s="1" t="s">
        <v>33</v>
      </c>
      <c r="L336" s="1">
        <v>4.81380490864838</v>
      </c>
      <c r="M336" s="1">
        <v>1.7220539780676</v>
      </c>
      <c r="N336" s="1" t="s">
        <v>31</v>
      </c>
    </row>
    <row r="337" ht="15.75" customHeight="1">
      <c r="A337" s="1">
        <v>24.0</v>
      </c>
      <c r="B337" s="1">
        <v>149.0</v>
      </c>
      <c r="C337" s="1" t="s">
        <v>74</v>
      </c>
      <c r="D337" s="1" t="s">
        <v>1371</v>
      </c>
      <c r="E337" s="1" t="s">
        <v>98</v>
      </c>
      <c r="F337" s="1" t="s">
        <v>1379</v>
      </c>
      <c r="G337" s="1" t="s">
        <v>1380</v>
      </c>
      <c r="H337" s="1">
        <v>10.0716518015135</v>
      </c>
      <c r="I337" s="1">
        <v>20.916733396798</v>
      </c>
      <c r="J337" s="1" t="s">
        <v>33</v>
      </c>
      <c r="K337" s="1" t="s">
        <v>33</v>
      </c>
      <c r="L337" s="1">
        <v>11.0798988365758</v>
      </c>
      <c r="M337" s="1">
        <v>6.90401979838655</v>
      </c>
      <c r="N337" s="1" t="s">
        <v>31</v>
      </c>
    </row>
    <row r="338" ht="15.75" customHeight="1">
      <c r="A338" s="1">
        <v>24.0</v>
      </c>
      <c r="B338" s="1">
        <v>150.0</v>
      </c>
      <c r="C338" s="1" t="s">
        <v>55</v>
      </c>
      <c r="D338" s="1" t="s">
        <v>1371</v>
      </c>
      <c r="E338" s="1" t="s">
        <v>57</v>
      </c>
      <c r="F338" s="1" t="s">
        <v>1383</v>
      </c>
      <c r="G338" s="1" t="s">
        <v>1384</v>
      </c>
      <c r="H338" s="1">
        <v>23.6679976762446</v>
      </c>
      <c r="I338" s="1">
        <v>0.0</v>
      </c>
      <c r="J338" s="1" t="s">
        <v>33</v>
      </c>
      <c r="K338" s="1" t="s">
        <v>33</v>
      </c>
      <c r="L338" s="1">
        <v>28.0903472483484</v>
      </c>
      <c r="M338" s="1">
        <v>8.59217457982702</v>
      </c>
      <c r="N338" s="1" t="s">
        <v>31</v>
      </c>
    </row>
    <row r="339" ht="15.75" customHeight="1">
      <c r="A339" s="1">
        <v>24.0</v>
      </c>
      <c r="B339" s="1">
        <v>151.0</v>
      </c>
      <c r="C339" s="1" t="s">
        <v>74</v>
      </c>
      <c r="D339" s="1" t="s">
        <v>1371</v>
      </c>
      <c r="E339" s="1" t="s">
        <v>98</v>
      </c>
      <c r="F339" s="1" t="s">
        <v>1383</v>
      </c>
      <c r="G339" s="1" t="s">
        <v>1384</v>
      </c>
      <c r="H339" s="1">
        <v>0.0</v>
      </c>
      <c r="I339" s="1">
        <v>20.916733396798</v>
      </c>
      <c r="J339" s="1" t="s">
        <v>33</v>
      </c>
      <c r="K339" s="1" t="s">
        <v>33</v>
      </c>
      <c r="L339" s="1">
        <v>28.0903472483484</v>
      </c>
      <c r="M339" s="1">
        <v>8.59217457982702</v>
      </c>
      <c r="N339" s="1" t="s">
        <v>31</v>
      </c>
    </row>
    <row r="340" ht="15.75" customHeight="1">
      <c r="A340" s="1">
        <v>24.0</v>
      </c>
      <c r="B340" s="1">
        <v>152.0</v>
      </c>
      <c r="C340" s="1" t="s">
        <v>74</v>
      </c>
      <c r="D340" s="1" t="s">
        <v>1371</v>
      </c>
      <c r="E340" s="1" t="s">
        <v>98</v>
      </c>
      <c r="F340" s="1" t="s">
        <v>1388</v>
      </c>
      <c r="G340" s="1" t="s">
        <v>1390</v>
      </c>
      <c r="H340" s="1">
        <v>40.027574608067</v>
      </c>
      <c r="I340" s="1">
        <v>67.285919076361</v>
      </c>
      <c r="J340" s="1" t="s">
        <v>33</v>
      </c>
      <c r="K340" s="1" t="s">
        <v>33</v>
      </c>
      <c r="L340" s="1">
        <v>3.04511324222769</v>
      </c>
      <c r="M340" s="1">
        <v>23.5247968259112</v>
      </c>
      <c r="N340" s="1" t="s">
        <v>31</v>
      </c>
    </row>
    <row r="341" ht="15.75" customHeight="1">
      <c r="A341" s="1">
        <v>24.0</v>
      </c>
      <c r="B341" s="1">
        <v>153.0</v>
      </c>
      <c r="C341" s="1" t="s">
        <v>55</v>
      </c>
      <c r="D341" s="1" t="s">
        <v>1371</v>
      </c>
      <c r="E341" s="1" t="s">
        <v>98</v>
      </c>
      <c r="F341" s="1" t="s">
        <v>1393</v>
      </c>
      <c r="G341" s="1" t="s">
        <v>1394</v>
      </c>
      <c r="H341" s="1">
        <v>100.714525134022</v>
      </c>
      <c r="I341" s="1">
        <v>40.027574608067</v>
      </c>
      <c r="J341" s="1" t="s">
        <v>33</v>
      </c>
      <c r="K341" s="1" t="s">
        <v>33</v>
      </c>
      <c r="L341" s="1">
        <v>5.51460630298799</v>
      </c>
      <c r="M341" s="1">
        <v>19.6868028265326</v>
      </c>
      <c r="N341" s="1" t="s">
        <v>31</v>
      </c>
    </row>
    <row r="342" ht="15.75" customHeight="1">
      <c r="A342" s="1">
        <v>24.0</v>
      </c>
      <c r="B342" s="1">
        <v>154.0</v>
      </c>
      <c r="C342" s="1" t="s">
        <v>55</v>
      </c>
      <c r="D342" s="1" t="s">
        <v>1371</v>
      </c>
      <c r="E342" s="1" t="s">
        <v>98</v>
      </c>
      <c r="F342" s="1" t="s">
        <v>1396</v>
      </c>
      <c r="G342" s="1" t="s">
        <v>1397</v>
      </c>
      <c r="H342" s="1">
        <v>176.044363081913</v>
      </c>
      <c r="I342" s="1">
        <v>1.89476779583089</v>
      </c>
      <c r="J342" s="1" t="s">
        <v>33</v>
      </c>
      <c r="K342" s="1" t="s">
        <v>33</v>
      </c>
      <c r="L342" s="1">
        <v>9.39162572822319</v>
      </c>
      <c r="M342" s="1">
        <v>3.53934406410002</v>
      </c>
      <c r="N342" s="1" t="s">
        <v>31</v>
      </c>
    </row>
    <row r="343" ht="15.75" customHeight="1">
      <c r="A343" s="1">
        <v>24.0</v>
      </c>
      <c r="B343" s="1">
        <v>155.0</v>
      </c>
      <c r="C343" s="1" t="s">
        <v>74</v>
      </c>
      <c r="D343" s="1" t="s">
        <v>1371</v>
      </c>
      <c r="E343" s="1" t="s">
        <v>98</v>
      </c>
      <c r="F343" s="1" t="s">
        <v>1400</v>
      </c>
      <c r="G343" s="1" t="s">
        <v>1401</v>
      </c>
      <c r="H343" s="1">
        <v>1.89476779583089</v>
      </c>
      <c r="I343" s="1">
        <v>221.423902876563</v>
      </c>
      <c r="J343" s="1" t="s">
        <v>33</v>
      </c>
      <c r="K343" s="1" t="s">
        <v>33</v>
      </c>
      <c r="L343" s="1">
        <v>11.0493165235</v>
      </c>
      <c r="M343" s="1">
        <v>5.17922599282997</v>
      </c>
      <c r="N343" s="1" t="s">
        <v>31</v>
      </c>
    </row>
    <row r="344" ht="15.75" customHeight="1">
      <c r="A344" s="1">
        <v>24.0</v>
      </c>
      <c r="B344" s="1">
        <v>170.0</v>
      </c>
      <c r="C344" s="1" t="s">
        <v>55</v>
      </c>
      <c r="D344" s="1" t="s">
        <v>1402</v>
      </c>
      <c r="E344" s="1" t="s">
        <v>98</v>
      </c>
      <c r="F344" s="1" t="s">
        <v>1403</v>
      </c>
      <c r="G344" s="1" t="s">
        <v>1404</v>
      </c>
      <c r="H344" s="1">
        <v>176.044363081913</v>
      </c>
      <c r="I344" s="1">
        <v>174.490302091302</v>
      </c>
      <c r="J344" s="1" t="s">
        <v>33</v>
      </c>
      <c r="K344" s="1" t="s">
        <v>33</v>
      </c>
      <c r="L344" s="1">
        <v>20.3703194081035</v>
      </c>
      <c r="M344" s="1">
        <v>4.76779207748003</v>
      </c>
      <c r="N344" s="1" t="s">
        <v>31</v>
      </c>
    </row>
    <row r="345" ht="15.75" customHeight="1">
      <c r="A345" s="1">
        <v>25.0</v>
      </c>
      <c r="B345" s="1">
        <v>86.0</v>
      </c>
      <c r="C345" s="1" t="s">
        <v>74</v>
      </c>
      <c r="D345" s="1" t="s">
        <v>1406</v>
      </c>
      <c r="E345" s="1" t="s">
        <v>57</v>
      </c>
      <c r="F345" s="1" t="s">
        <v>1407</v>
      </c>
      <c r="G345" s="1" t="s">
        <v>1408</v>
      </c>
      <c r="H345" s="1">
        <v>0.0</v>
      </c>
      <c r="I345" s="1">
        <v>25.8405362561773</v>
      </c>
      <c r="J345" s="1" t="s">
        <v>33</v>
      </c>
      <c r="K345" s="1" t="s">
        <v>33</v>
      </c>
      <c r="L345" s="1">
        <v>36.7938775473499</v>
      </c>
      <c r="M345" s="1">
        <v>147.175769460521</v>
      </c>
      <c r="N345" s="1" t="s">
        <v>36</v>
      </c>
    </row>
    <row r="346" ht="15.75" customHeight="1">
      <c r="A346" s="1">
        <v>25.0</v>
      </c>
      <c r="B346" s="1">
        <v>87.0</v>
      </c>
      <c r="C346" s="1" t="s">
        <v>74</v>
      </c>
      <c r="D346" s="1" t="s">
        <v>1406</v>
      </c>
      <c r="E346" s="1" t="s">
        <v>57</v>
      </c>
      <c r="F346" s="1" t="s">
        <v>1407</v>
      </c>
      <c r="G346" s="1" t="s">
        <v>1408</v>
      </c>
      <c r="H346" s="1">
        <v>0.0</v>
      </c>
      <c r="I346" s="1">
        <v>25.8405362561773</v>
      </c>
      <c r="J346" s="1" t="s">
        <v>33</v>
      </c>
      <c r="K346" s="1" t="s">
        <v>33</v>
      </c>
      <c r="L346" s="1">
        <v>36.7938775473499</v>
      </c>
      <c r="M346" s="1">
        <v>147.175769460521</v>
      </c>
      <c r="N346" s="1" t="s">
        <v>36</v>
      </c>
    </row>
    <row r="347" ht="15.75" customHeight="1">
      <c r="A347" s="1">
        <v>25.0</v>
      </c>
      <c r="B347" s="1">
        <v>88.0</v>
      </c>
      <c r="C347" s="1" t="s">
        <v>55</v>
      </c>
      <c r="D347" s="1" t="s">
        <v>1406</v>
      </c>
      <c r="E347" s="1" t="s">
        <v>57</v>
      </c>
      <c r="F347" s="1" t="s">
        <v>1407</v>
      </c>
      <c r="G347" s="1" t="s">
        <v>1408</v>
      </c>
      <c r="H347" s="1">
        <v>10.7958307692657</v>
      </c>
      <c r="I347" s="1">
        <v>0.0</v>
      </c>
      <c r="J347" s="1" t="s">
        <v>33</v>
      </c>
      <c r="K347" s="1" t="s">
        <v>33</v>
      </c>
      <c r="L347" s="1">
        <v>36.7938775473499</v>
      </c>
      <c r="M347" s="1">
        <v>147.175769460521</v>
      </c>
      <c r="N347" s="1" t="s">
        <v>36</v>
      </c>
    </row>
    <row r="348" ht="15.75" customHeight="1">
      <c r="A348" s="1">
        <v>25.0</v>
      </c>
      <c r="B348" s="1">
        <v>89.0</v>
      </c>
      <c r="C348" s="1" t="s">
        <v>55</v>
      </c>
      <c r="D348" s="1" t="s">
        <v>1406</v>
      </c>
      <c r="E348" s="1" t="s">
        <v>57</v>
      </c>
      <c r="F348" s="1" t="s">
        <v>1409</v>
      </c>
      <c r="G348" s="1" t="s">
        <v>1411</v>
      </c>
      <c r="H348" s="1">
        <v>10.7958307692657</v>
      </c>
      <c r="I348" s="1">
        <v>10.7958307692657</v>
      </c>
      <c r="J348" s="1" t="s">
        <v>33</v>
      </c>
      <c r="K348" s="1" t="s">
        <v>33</v>
      </c>
      <c r="L348" s="1">
        <v>46.9912020019725</v>
      </c>
      <c r="M348" s="1">
        <v>140.182204916776</v>
      </c>
      <c r="N348" s="1" t="s">
        <v>36</v>
      </c>
    </row>
    <row r="349" ht="15.75" customHeight="1">
      <c r="A349" s="1">
        <v>25.0</v>
      </c>
      <c r="B349" s="1">
        <v>90.0</v>
      </c>
      <c r="C349" s="1" t="s">
        <v>55</v>
      </c>
      <c r="D349" s="1" t="s">
        <v>1406</v>
      </c>
      <c r="E349" s="1" t="s">
        <v>57</v>
      </c>
      <c r="F349" s="1" t="s">
        <v>1415</v>
      </c>
      <c r="G349" s="1" t="s">
        <v>1416</v>
      </c>
      <c r="H349" s="1">
        <v>14.6489141235484</v>
      </c>
      <c r="I349" s="1">
        <v>20.4536792044894</v>
      </c>
      <c r="J349" s="1" t="s">
        <v>33</v>
      </c>
      <c r="K349" s="1" t="s">
        <v>33</v>
      </c>
      <c r="L349" s="1">
        <v>46.5042986264683</v>
      </c>
      <c r="M349" s="1">
        <v>126.795196927659</v>
      </c>
      <c r="N349" s="1" t="s">
        <v>36</v>
      </c>
    </row>
    <row r="350" ht="15.75" customHeight="1">
      <c r="A350" s="1">
        <v>25.0</v>
      </c>
      <c r="B350" s="1">
        <v>91.0</v>
      </c>
      <c r="C350" s="1" t="s">
        <v>55</v>
      </c>
      <c r="D350" s="1" t="s">
        <v>1406</v>
      </c>
      <c r="E350" s="1" t="s">
        <v>57</v>
      </c>
      <c r="F350" s="1" t="s">
        <v>1417</v>
      </c>
      <c r="G350" s="1" t="s">
        <v>1418</v>
      </c>
      <c r="H350" s="1">
        <v>10.0505144148638</v>
      </c>
      <c r="I350" s="1">
        <v>10.0505144148638</v>
      </c>
      <c r="J350" s="1" t="s">
        <v>33</v>
      </c>
      <c r="K350" s="1" t="s">
        <v>33</v>
      </c>
      <c r="L350" s="1">
        <v>9.16321983594355</v>
      </c>
      <c r="M350" s="1">
        <v>141.911454733452</v>
      </c>
      <c r="N350" s="1" t="s">
        <v>36</v>
      </c>
    </row>
    <row r="351" ht="15.75" customHeight="1">
      <c r="A351" s="1">
        <v>25.0</v>
      </c>
      <c r="B351" s="1">
        <v>92.0</v>
      </c>
      <c r="C351" s="1" t="s">
        <v>74</v>
      </c>
      <c r="D351" s="1" t="s">
        <v>1406</v>
      </c>
      <c r="E351" s="1" t="s">
        <v>57</v>
      </c>
      <c r="F351" s="1" t="s">
        <v>1419</v>
      </c>
      <c r="G351" s="1" t="s">
        <v>1420</v>
      </c>
      <c r="H351" s="1">
        <v>0.0</v>
      </c>
      <c r="I351" s="1">
        <v>25.8405362561773</v>
      </c>
      <c r="J351" s="1" t="s">
        <v>33</v>
      </c>
      <c r="K351" s="1" t="s">
        <v>33</v>
      </c>
      <c r="L351" s="1">
        <v>14.8494120722874</v>
      </c>
      <c r="M351" s="1">
        <v>144.258622603228</v>
      </c>
      <c r="N351" s="1" t="s">
        <v>36</v>
      </c>
    </row>
    <row r="352" ht="15.75" customHeight="1">
      <c r="A352" s="1">
        <v>25.0</v>
      </c>
      <c r="B352" s="1">
        <v>93.0</v>
      </c>
      <c r="C352" s="1" t="s">
        <v>74</v>
      </c>
      <c r="D352" s="1" t="s">
        <v>1406</v>
      </c>
      <c r="E352" s="1" t="s">
        <v>57</v>
      </c>
      <c r="F352" s="1" t="s">
        <v>1419</v>
      </c>
      <c r="G352" s="1" t="s">
        <v>1420</v>
      </c>
      <c r="H352" s="1">
        <v>0.0</v>
      </c>
      <c r="I352" s="1">
        <v>25.8405362561773</v>
      </c>
      <c r="J352" s="1" t="s">
        <v>33</v>
      </c>
      <c r="K352" s="1" t="s">
        <v>33</v>
      </c>
      <c r="L352" s="1">
        <v>14.8494120722874</v>
      </c>
      <c r="M352" s="1">
        <v>144.258622603228</v>
      </c>
      <c r="N352" s="1" t="s">
        <v>36</v>
      </c>
    </row>
    <row r="353" ht="15.75" customHeight="1">
      <c r="A353" s="1">
        <v>25.0</v>
      </c>
      <c r="B353" s="1">
        <v>94.0</v>
      </c>
      <c r="C353" s="1" t="s">
        <v>55</v>
      </c>
      <c r="D353" s="1" t="s">
        <v>1406</v>
      </c>
      <c r="E353" s="1" t="s">
        <v>57</v>
      </c>
      <c r="F353" s="1" t="s">
        <v>1419</v>
      </c>
      <c r="G353" s="1" t="s">
        <v>1420</v>
      </c>
      <c r="H353" s="1">
        <v>10.0505144148638</v>
      </c>
      <c r="I353" s="1">
        <v>0.0</v>
      </c>
      <c r="J353" s="1" t="s">
        <v>33</v>
      </c>
      <c r="K353" s="1" t="s">
        <v>33</v>
      </c>
      <c r="L353" s="1">
        <v>14.8494120722874</v>
      </c>
      <c r="M353" s="1">
        <v>144.258622603228</v>
      </c>
      <c r="N353" s="1" t="s">
        <v>36</v>
      </c>
    </row>
    <row r="354" ht="15.75" customHeight="1">
      <c r="A354" s="1">
        <v>26.0</v>
      </c>
      <c r="B354" s="1">
        <v>61.0</v>
      </c>
      <c r="C354" s="1" t="s">
        <v>55</v>
      </c>
      <c r="D354" s="1" t="s">
        <v>1423</v>
      </c>
      <c r="E354" s="1" t="s">
        <v>57</v>
      </c>
      <c r="F354" s="1" t="s">
        <v>1424</v>
      </c>
      <c r="G354" s="1" t="s">
        <v>1426</v>
      </c>
      <c r="H354" s="1">
        <v>12.4653857548064</v>
      </c>
      <c r="I354" s="1">
        <v>0.0</v>
      </c>
      <c r="J354" s="1" t="s">
        <v>33</v>
      </c>
      <c r="K354" s="1">
        <v>22.5184038955359</v>
      </c>
      <c r="L354" s="1">
        <v>0.392057026495119</v>
      </c>
      <c r="M354" s="1">
        <v>22.1891592863461</v>
      </c>
      <c r="N354" s="1" t="s">
        <v>36</v>
      </c>
    </row>
    <row r="355" ht="15.75" customHeight="1">
      <c r="A355" s="1">
        <v>26.0</v>
      </c>
      <c r="B355" s="1">
        <v>62.0</v>
      </c>
      <c r="C355" s="1" t="s">
        <v>74</v>
      </c>
      <c r="D355" s="1" t="s">
        <v>1423</v>
      </c>
      <c r="E355" s="1" t="s">
        <v>57</v>
      </c>
      <c r="F355" s="1" t="s">
        <v>1424</v>
      </c>
      <c r="G355" s="1" t="s">
        <v>1426</v>
      </c>
      <c r="H355" s="1">
        <v>0.0</v>
      </c>
      <c r="I355" s="1">
        <v>10.5420407892663</v>
      </c>
      <c r="J355" s="1" t="s">
        <v>33</v>
      </c>
      <c r="K355" s="1">
        <v>22.5184038955359</v>
      </c>
      <c r="L355" s="1">
        <v>0.392057026495119</v>
      </c>
      <c r="M355" s="1">
        <v>22.1891592863461</v>
      </c>
      <c r="N355" s="1" t="s">
        <v>36</v>
      </c>
    </row>
    <row r="356" ht="15.75" customHeight="1">
      <c r="A356" s="1">
        <v>26.0</v>
      </c>
      <c r="B356" s="1">
        <v>63.0</v>
      </c>
      <c r="C356" s="1" t="s">
        <v>74</v>
      </c>
      <c r="D356" s="1" t="s">
        <v>1423</v>
      </c>
      <c r="E356" s="1" t="s">
        <v>57</v>
      </c>
      <c r="F356" s="1" t="s">
        <v>1427</v>
      </c>
      <c r="G356" s="1" t="s">
        <v>1428</v>
      </c>
      <c r="H356" s="1">
        <v>7.02043146808333</v>
      </c>
      <c r="I356" s="1">
        <v>10.5420407892663</v>
      </c>
      <c r="J356" s="1" t="s">
        <v>33</v>
      </c>
      <c r="K356" s="1">
        <v>18.884563484462</v>
      </c>
      <c r="L356" s="1">
        <v>0.439039389522178</v>
      </c>
      <c r="M356" s="1">
        <v>28.2309419614769</v>
      </c>
      <c r="N356" s="1" t="s">
        <v>36</v>
      </c>
    </row>
    <row r="357" ht="15.75" customHeight="1">
      <c r="A357" s="1">
        <v>26.0</v>
      </c>
      <c r="B357" s="1">
        <v>64.0</v>
      </c>
      <c r="C357" s="1" t="s">
        <v>55</v>
      </c>
      <c r="D357" s="1" t="s">
        <v>1423</v>
      </c>
      <c r="E357" s="1" t="s">
        <v>57</v>
      </c>
      <c r="F357" s="1" t="s">
        <v>1429</v>
      </c>
      <c r="G357" s="1" t="s">
        <v>1430</v>
      </c>
      <c r="H357" s="1">
        <v>9.62351827520239</v>
      </c>
      <c r="I357" s="1">
        <v>10.4663324045186</v>
      </c>
      <c r="J357" s="1" t="s">
        <v>33</v>
      </c>
      <c r="K357" s="1">
        <v>20.0940837060883</v>
      </c>
      <c r="L357" s="1">
        <v>5.61844346515598</v>
      </c>
      <c r="M357" s="1">
        <v>35.198469153426</v>
      </c>
      <c r="N357" s="1" t="s">
        <v>36</v>
      </c>
    </row>
    <row r="358" ht="15.75" customHeight="1">
      <c r="A358" s="1">
        <v>26.0</v>
      </c>
      <c r="B358" s="1">
        <v>65.0</v>
      </c>
      <c r="C358" s="1" t="s">
        <v>55</v>
      </c>
      <c r="D358" s="1" t="s">
        <v>1423</v>
      </c>
      <c r="E358" s="1" t="s">
        <v>57</v>
      </c>
      <c r="F358" s="1" t="s">
        <v>1429</v>
      </c>
      <c r="G358" s="1" t="s">
        <v>1430</v>
      </c>
      <c r="H358" s="1">
        <v>9.62351827520239</v>
      </c>
      <c r="I358" s="1">
        <v>10.4663324045186</v>
      </c>
      <c r="J358" s="1" t="s">
        <v>33</v>
      </c>
      <c r="K358" s="1">
        <v>20.0940837060883</v>
      </c>
      <c r="L358" s="1">
        <v>5.61844346515598</v>
      </c>
      <c r="M358" s="1">
        <v>35.198469153426</v>
      </c>
      <c r="N358" s="1" t="s">
        <v>36</v>
      </c>
    </row>
    <row r="359" ht="15.75" customHeight="1">
      <c r="A359" s="1">
        <v>26.0</v>
      </c>
      <c r="B359" s="1">
        <v>66.0</v>
      </c>
      <c r="C359" s="1" t="s">
        <v>55</v>
      </c>
      <c r="D359" s="1" t="s">
        <v>1423</v>
      </c>
      <c r="E359" s="1" t="s">
        <v>57</v>
      </c>
      <c r="F359" s="1" t="s">
        <v>1431</v>
      </c>
      <c r="G359" s="1" t="s">
        <v>1432</v>
      </c>
      <c r="H359" s="1">
        <v>10.3469371312147</v>
      </c>
      <c r="I359" s="1">
        <v>16.9884151701426</v>
      </c>
      <c r="J359" s="1" t="s">
        <v>33</v>
      </c>
      <c r="K359" s="1">
        <v>10.1419321630991</v>
      </c>
      <c r="L359" s="1">
        <v>4.8509600907949</v>
      </c>
      <c r="M359" s="1">
        <v>45.1961429458583</v>
      </c>
      <c r="N359" s="1" t="s">
        <v>36</v>
      </c>
    </row>
    <row r="360" ht="15.75" customHeight="1">
      <c r="A360" s="1">
        <v>26.0</v>
      </c>
      <c r="B360" s="1">
        <v>67.0</v>
      </c>
      <c r="C360" s="1" t="s">
        <v>55</v>
      </c>
      <c r="D360" s="1" t="s">
        <v>1423</v>
      </c>
      <c r="E360" s="1" t="s">
        <v>57</v>
      </c>
      <c r="F360" s="1" t="s">
        <v>1431</v>
      </c>
      <c r="G360" s="1" t="s">
        <v>1432</v>
      </c>
      <c r="H360" s="1">
        <v>10.3469371312147</v>
      </c>
      <c r="I360" s="1">
        <v>16.9884151701426</v>
      </c>
      <c r="J360" s="1" t="s">
        <v>33</v>
      </c>
      <c r="K360" s="1">
        <v>10.1419321630991</v>
      </c>
      <c r="L360" s="1">
        <v>4.8509600907949</v>
      </c>
      <c r="M360" s="1">
        <v>45.1961429458583</v>
      </c>
      <c r="N360" s="1" t="s">
        <v>36</v>
      </c>
    </row>
    <row r="361" ht="15.75" customHeight="1">
      <c r="A361" s="1">
        <v>26.0</v>
      </c>
      <c r="B361" s="1">
        <v>68.0</v>
      </c>
      <c r="C361" s="1" t="s">
        <v>179</v>
      </c>
      <c r="D361" s="1" t="s">
        <v>1423</v>
      </c>
      <c r="E361" s="1" t="s">
        <v>57</v>
      </c>
      <c r="F361" s="1" t="s">
        <v>1436</v>
      </c>
      <c r="G361" s="1" t="s">
        <v>1437</v>
      </c>
      <c r="H361" s="1">
        <v>10.1419321630991</v>
      </c>
      <c r="I361" s="1">
        <v>18.884563484462</v>
      </c>
      <c r="J361" s="1" t="s">
        <v>33</v>
      </c>
      <c r="K361" s="1" t="s">
        <v>33</v>
      </c>
      <c r="L361" s="1">
        <v>14.1922451561812</v>
      </c>
      <c r="M361" s="1">
        <v>38.7892229659294</v>
      </c>
      <c r="N361" s="1" t="s">
        <v>36</v>
      </c>
    </row>
    <row r="362" ht="15.75" customHeight="1">
      <c r="A362" s="1">
        <v>26.0</v>
      </c>
      <c r="B362" s="1">
        <v>69.0</v>
      </c>
      <c r="C362" s="1" t="s">
        <v>55</v>
      </c>
      <c r="D362" s="1" t="s">
        <v>1423</v>
      </c>
      <c r="E362" s="1" t="s">
        <v>57</v>
      </c>
      <c r="F362" s="1" t="s">
        <v>1438</v>
      </c>
      <c r="G362" s="1" t="s">
        <v>1439</v>
      </c>
      <c r="H362" s="1">
        <v>9.97841931428078</v>
      </c>
      <c r="I362" s="1">
        <v>12.4653857548064</v>
      </c>
      <c r="J362" s="1" t="s">
        <v>33</v>
      </c>
      <c r="K362" s="1">
        <v>10.5608077338336</v>
      </c>
      <c r="L362" s="1">
        <v>12.5219170417095</v>
      </c>
      <c r="M362" s="1">
        <v>30.3781950934816</v>
      </c>
      <c r="N362" s="1" t="s">
        <v>36</v>
      </c>
    </row>
    <row r="363" ht="15.75" customHeight="1">
      <c r="A363" s="1">
        <v>26.0</v>
      </c>
      <c r="B363" s="1">
        <v>70.0</v>
      </c>
      <c r="C363" s="1" t="s">
        <v>55</v>
      </c>
      <c r="D363" s="1" t="s">
        <v>1423</v>
      </c>
      <c r="E363" s="1" t="s">
        <v>57</v>
      </c>
      <c r="F363" s="1" t="s">
        <v>1438</v>
      </c>
      <c r="G363" s="1" t="s">
        <v>1439</v>
      </c>
      <c r="H363" s="1">
        <v>9.97841931428078</v>
      </c>
      <c r="I363" s="1">
        <v>12.4653857548064</v>
      </c>
      <c r="J363" s="1" t="s">
        <v>33</v>
      </c>
      <c r="K363" s="1">
        <v>10.5608077338336</v>
      </c>
      <c r="L363" s="1">
        <v>12.5219170417095</v>
      </c>
      <c r="M363" s="1">
        <v>30.3781950934816</v>
      </c>
      <c r="N363" s="1" t="s">
        <v>36</v>
      </c>
    </row>
    <row r="364" ht="15.75" customHeight="1">
      <c r="A364" s="1">
        <v>26.0</v>
      </c>
      <c r="B364" s="1">
        <v>71.0</v>
      </c>
      <c r="C364" s="1" t="s">
        <v>55</v>
      </c>
      <c r="D364" s="1" t="s">
        <v>1423</v>
      </c>
      <c r="E364" s="1" t="s">
        <v>57</v>
      </c>
      <c r="F364" s="1" t="s">
        <v>1440</v>
      </c>
      <c r="G364" s="1" t="s">
        <v>1441</v>
      </c>
      <c r="H364" s="1">
        <v>9.62351827520239</v>
      </c>
      <c r="I364" s="1">
        <v>7.02043146808333</v>
      </c>
      <c r="J364" s="1" t="s">
        <v>33</v>
      </c>
      <c r="K364" s="1">
        <v>12.3818324978231</v>
      </c>
      <c r="L364" s="1">
        <v>3.54136050528497</v>
      </c>
      <c r="M364" s="1">
        <v>35.107968699225</v>
      </c>
      <c r="N364" s="1" t="s">
        <v>36</v>
      </c>
    </row>
    <row r="365" ht="15.75" customHeight="1">
      <c r="A365" s="1">
        <v>26.0</v>
      </c>
      <c r="B365" s="1">
        <v>72.0</v>
      </c>
      <c r="C365" s="1" t="s">
        <v>55</v>
      </c>
      <c r="D365" s="1" t="s">
        <v>1423</v>
      </c>
      <c r="E365" s="1" t="s">
        <v>57</v>
      </c>
      <c r="F365" s="1" t="s">
        <v>1444</v>
      </c>
      <c r="G365" s="1" t="s">
        <v>1445</v>
      </c>
      <c r="H365" s="1">
        <v>10.0110604834392</v>
      </c>
      <c r="I365" s="1">
        <v>0.0</v>
      </c>
      <c r="J365" s="1" t="s">
        <v>33</v>
      </c>
      <c r="K365" s="1">
        <v>51.3220956020908</v>
      </c>
      <c r="L365" s="1">
        <v>4.5660843629959</v>
      </c>
      <c r="M365" s="1">
        <v>10.1166719591025</v>
      </c>
      <c r="N365" s="1" t="s">
        <v>36</v>
      </c>
    </row>
    <row r="366" ht="15.75" customHeight="1">
      <c r="A366" s="1">
        <v>26.0</v>
      </c>
      <c r="B366" s="1">
        <v>73.0</v>
      </c>
      <c r="C366" s="1" t="s">
        <v>74</v>
      </c>
      <c r="D366" s="1" t="s">
        <v>1423</v>
      </c>
      <c r="E366" s="1" t="s">
        <v>57</v>
      </c>
      <c r="F366" s="1" t="s">
        <v>1444</v>
      </c>
      <c r="G366" s="1" t="s">
        <v>1445</v>
      </c>
      <c r="H366" s="1">
        <v>0.0</v>
      </c>
      <c r="I366" s="1">
        <v>34.8825047407352</v>
      </c>
      <c r="J366" s="1" t="s">
        <v>33</v>
      </c>
      <c r="K366" s="1">
        <v>51.3220956020908</v>
      </c>
      <c r="L366" s="1">
        <v>4.5660843629959</v>
      </c>
      <c r="M366" s="1">
        <v>10.1166719591025</v>
      </c>
      <c r="N366" s="1" t="s">
        <v>36</v>
      </c>
    </row>
    <row r="367" ht="15.75" customHeight="1">
      <c r="A367" s="1">
        <v>26.0</v>
      </c>
      <c r="B367" s="1">
        <v>74.0</v>
      </c>
      <c r="C367" s="1" t="s">
        <v>55</v>
      </c>
      <c r="D367" s="1" t="s">
        <v>1423</v>
      </c>
      <c r="E367" s="1" t="s">
        <v>57</v>
      </c>
      <c r="F367" s="1" t="s">
        <v>1444</v>
      </c>
      <c r="G367" s="1" t="s">
        <v>1445</v>
      </c>
      <c r="H367" s="1">
        <v>10.0110604834392</v>
      </c>
      <c r="I367" s="1">
        <v>0.0</v>
      </c>
      <c r="J367" s="1" t="s">
        <v>33</v>
      </c>
      <c r="K367" s="1">
        <v>51.3220956020908</v>
      </c>
      <c r="L367" s="1">
        <v>4.5660843629959</v>
      </c>
      <c r="M367" s="1">
        <v>10.1166719591025</v>
      </c>
      <c r="N367" s="1" t="s">
        <v>36</v>
      </c>
    </row>
    <row r="368" ht="15.75" customHeight="1">
      <c r="A368" s="1">
        <v>26.0</v>
      </c>
      <c r="B368" s="1">
        <v>75.0</v>
      </c>
      <c r="C368" s="1" t="s">
        <v>55</v>
      </c>
      <c r="D368" s="1" t="s">
        <v>1423</v>
      </c>
      <c r="E368" s="1" t="s">
        <v>98</v>
      </c>
      <c r="F368" s="1" t="s">
        <v>1449</v>
      </c>
      <c r="G368" s="1" t="s">
        <v>1450</v>
      </c>
      <c r="H368" s="1">
        <v>10.0110604834392</v>
      </c>
      <c r="I368" s="1">
        <v>10.0110604834392</v>
      </c>
      <c r="J368" s="1" t="s">
        <v>33</v>
      </c>
      <c r="K368" s="1">
        <v>61.2208192448432</v>
      </c>
      <c r="L368" s="1">
        <v>0.140278241801374</v>
      </c>
      <c r="M368" s="1">
        <v>19.8724638545047</v>
      </c>
      <c r="N368" s="1" t="s">
        <v>36</v>
      </c>
    </row>
    <row r="369" ht="15.75" customHeight="1">
      <c r="A369" s="1">
        <v>26.0</v>
      </c>
      <c r="B369" s="1">
        <v>76.0</v>
      </c>
      <c r="C369" s="1" t="s">
        <v>55</v>
      </c>
      <c r="D369" s="1" t="s">
        <v>1423</v>
      </c>
      <c r="E369" s="1" t="s">
        <v>98</v>
      </c>
      <c r="F369" s="1" t="s">
        <v>1449</v>
      </c>
      <c r="G369" s="1" t="s">
        <v>1450</v>
      </c>
      <c r="H369" s="1">
        <v>10.0110604834392</v>
      </c>
      <c r="I369" s="1">
        <v>10.0110604834392</v>
      </c>
      <c r="J369" s="1" t="s">
        <v>33</v>
      </c>
      <c r="K369" s="1">
        <v>61.2208192448432</v>
      </c>
      <c r="L369" s="1">
        <v>0.140278241801374</v>
      </c>
      <c r="M369" s="1">
        <v>19.8724638545047</v>
      </c>
      <c r="N369" s="1" t="s">
        <v>36</v>
      </c>
    </row>
    <row r="370" ht="15.75" customHeight="1">
      <c r="A370" s="1">
        <v>26.0</v>
      </c>
      <c r="B370" s="1">
        <v>77.0</v>
      </c>
      <c r="C370" s="1" t="s">
        <v>74</v>
      </c>
      <c r="D370" s="1" t="s">
        <v>1423</v>
      </c>
      <c r="E370" s="1" t="s">
        <v>98</v>
      </c>
      <c r="F370" s="1" t="s">
        <v>1444</v>
      </c>
      <c r="G370" s="1" t="s">
        <v>1445</v>
      </c>
      <c r="H370" s="1">
        <v>0.0</v>
      </c>
      <c r="I370" s="1">
        <v>34.8825047407352</v>
      </c>
      <c r="J370" s="1" t="s">
        <v>33</v>
      </c>
      <c r="K370" s="1">
        <v>51.3220956020908</v>
      </c>
      <c r="L370" s="1">
        <v>4.5660843629959</v>
      </c>
      <c r="M370" s="1">
        <v>10.1166719591025</v>
      </c>
      <c r="N370" s="1" t="s">
        <v>36</v>
      </c>
    </row>
    <row r="371" ht="15.75" customHeight="1">
      <c r="A371" s="1">
        <v>26.0</v>
      </c>
      <c r="B371" s="1">
        <v>78.0</v>
      </c>
      <c r="C371" s="1" t="s">
        <v>74</v>
      </c>
      <c r="D371" s="1" t="s">
        <v>1423</v>
      </c>
      <c r="E371" s="1" t="s">
        <v>98</v>
      </c>
      <c r="F371" s="1" t="s">
        <v>1444</v>
      </c>
      <c r="G371" s="1" t="s">
        <v>1445</v>
      </c>
      <c r="H371" s="1">
        <v>0.0</v>
      </c>
      <c r="I371" s="1">
        <v>34.8825047407352</v>
      </c>
      <c r="J371" s="1" t="s">
        <v>33</v>
      </c>
      <c r="K371" s="1">
        <v>51.3220956020908</v>
      </c>
      <c r="L371" s="1">
        <v>4.5660843629959</v>
      </c>
      <c r="M371" s="1">
        <v>10.1166719591025</v>
      </c>
      <c r="N371" s="1" t="s">
        <v>36</v>
      </c>
    </row>
    <row r="372" ht="15.75" customHeight="1">
      <c r="A372" s="1">
        <v>27.0</v>
      </c>
      <c r="B372" s="1">
        <v>54.0</v>
      </c>
      <c r="C372" s="1" t="s">
        <v>55</v>
      </c>
      <c r="D372" s="1" t="s">
        <v>1455</v>
      </c>
      <c r="E372" s="1" t="s">
        <v>57</v>
      </c>
      <c r="F372" s="1" t="s">
        <v>1456</v>
      </c>
      <c r="G372" s="1" t="s">
        <v>1457</v>
      </c>
      <c r="H372" s="1">
        <v>15.925976767479</v>
      </c>
      <c r="I372" s="1" t="s">
        <v>33</v>
      </c>
      <c r="J372" s="1" t="s">
        <v>33</v>
      </c>
      <c r="K372" s="1">
        <v>15.925976767479</v>
      </c>
      <c r="L372" s="1">
        <v>29.2166757250261</v>
      </c>
      <c r="M372" s="1">
        <v>68.8398914493131</v>
      </c>
      <c r="N372" s="1" t="s">
        <v>36</v>
      </c>
    </row>
    <row r="373" ht="15.75" customHeight="1">
      <c r="A373" s="1">
        <v>27.0</v>
      </c>
      <c r="B373" s="1">
        <v>55.0</v>
      </c>
      <c r="C373" s="1" t="s">
        <v>55</v>
      </c>
      <c r="D373" s="1" t="s">
        <v>1455</v>
      </c>
      <c r="E373" s="1" t="s">
        <v>57</v>
      </c>
      <c r="F373" s="1" t="s">
        <v>1460</v>
      </c>
      <c r="G373" s="1" t="s">
        <v>1461</v>
      </c>
      <c r="H373" s="1">
        <v>13.1466243572241</v>
      </c>
      <c r="I373" s="1" t="s">
        <v>33</v>
      </c>
      <c r="J373" s="1" t="s">
        <v>33</v>
      </c>
      <c r="K373" s="1">
        <v>13.1466243572241</v>
      </c>
      <c r="L373" s="1">
        <v>42.6633209946827</v>
      </c>
      <c r="M373" s="1">
        <v>80.894894927943</v>
      </c>
      <c r="N373" s="1" t="s">
        <v>36</v>
      </c>
    </row>
    <row r="374" ht="15.75" customHeight="1">
      <c r="A374" s="1">
        <v>27.0</v>
      </c>
      <c r="B374" s="1">
        <v>56.0</v>
      </c>
      <c r="C374" s="1" t="s">
        <v>179</v>
      </c>
      <c r="D374" s="1" t="s">
        <v>1455</v>
      </c>
      <c r="E374" s="1" t="s">
        <v>57</v>
      </c>
      <c r="F374" s="1" t="s">
        <v>1463</v>
      </c>
      <c r="G374" s="1" t="s">
        <v>1464</v>
      </c>
      <c r="H374" s="1">
        <v>0.0</v>
      </c>
      <c r="I374" s="1" t="s">
        <v>33</v>
      </c>
      <c r="J374" s="1" t="s">
        <v>33</v>
      </c>
      <c r="K374" s="1" t="s">
        <v>33</v>
      </c>
      <c r="L374" s="1">
        <v>30.825549933835</v>
      </c>
      <c r="M374" s="1">
        <v>84.6998007234158</v>
      </c>
      <c r="N374" s="1" t="s">
        <v>36</v>
      </c>
    </row>
    <row r="375" ht="15.75" customHeight="1">
      <c r="A375" s="1">
        <v>27.0</v>
      </c>
      <c r="B375" s="1">
        <v>57.0</v>
      </c>
      <c r="C375" s="1" t="s">
        <v>179</v>
      </c>
      <c r="D375" s="1" t="s">
        <v>1455</v>
      </c>
      <c r="E375" s="1" t="s">
        <v>57</v>
      </c>
      <c r="F375" s="1" t="s">
        <v>1463</v>
      </c>
      <c r="G375" s="1" t="s">
        <v>1464</v>
      </c>
      <c r="H375" s="1">
        <v>0.0</v>
      </c>
      <c r="I375" s="1" t="s">
        <v>33</v>
      </c>
      <c r="J375" s="1" t="s">
        <v>33</v>
      </c>
      <c r="K375" s="1" t="s">
        <v>33</v>
      </c>
      <c r="L375" s="1">
        <v>30.825549933835</v>
      </c>
      <c r="M375" s="1">
        <v>84.6998007234158</v>
      </c>
      <c r="N375" s="1" t="s">
        <v>36</v>
      </c>
    </row>
    <row r="376" ht="15.75" customHeight="1">
      <c r="A376" s="1">
        <v>27.0</v>
      </c>
      <c r="B376" s="1">
        <v>58.0</v>
      </c>
      <c r="C376" s="1" t="s">
        <v>55</v>
      </c>
      <c r="D376" s="1" t="s">
        <v>1455</v>
      </c>
      <c r="E376" s="1" t="s">
        <v>57</v>
      </c>
      <c r="F376" s="1" t="s">
        <v>1463</v>
      </c>
      <c r="G376" s="1" t="s">
        <v>1464</v>
      </c>
      <c r="H376" s="1">
        <v>13.1466243572241</v>
      </c>
      <c r="I376" s="1" t="s">
        <v>33</v>
      </c>
      <c r="J376" s="1" t="s">
        <v>33</v>
      </c>
      <c r="K376" s="1">
        <v>0.0</v>
      </c>
      <c r="L376" s="1">
        <v>30.825549933835</v>
      </c>
      <c r="M376" s="1">
        <v>84.6998007234158</v>
      </c>
      <c r="N376" s="1" t="s">
        <v>36</v>
      </c>
    </row>
    <row r="377" ht="15.75" customHeight="1">
      <c r="A377" s="1">
        <v>27.0</v>
      </c>
      <c r="B377" s="1">
        <v>59.0</v>
      </c>
      <c r="C377" s="1" t="s">
        <v>55</v>
      </c>
      <c r="D377" s="1" t="s">
        <v>1455</v>
      </c>
      <c r="E377" s="1" t="s">
        <v>57</v>
      </c>
      <c r="F377" s="1" t="s">
        <v>1470</v>
      </c>
      <c r="G377" s="1" t="s">
        <v>1472</v>
      </c>
      <c r="H377" s="1">
        <v>49.9932040979531</v>
      </c>
      <c r="I377" s="1" t="s">
        <v>33</v>
      </c>
      <c r="J377" s="1" t="s">
        <v>33</v>
      </c>
      <c r="K377" s="1">
        <v>49.9932040979531</v>
      </c>
      <c r="L377" s="1">
        <v>14.9698396625693</v>
      </c>
      <c r="M377" s="1">
        <v>93.5749360908111</v>
      </c>
      <c r="N377" s="1" t="s">
        <v>36</v>
      </c>
    </row>
    <row r="378" ht="15.75" customHeight="1">
      <c r="A378" s="1">
        <v>27.0</v>
      </c>
      <c r="B378" s="1">
        <v>60.0</v>
      </c>
      <c r="C378" s="1" t="s">
        <v>55</v>
      </c>
      <c r="D378" s="1" t="s">
        <v>1455</v>
      </c>
      <c r="E378" s="1" t="s">
        <v>57</v>
      </c>
      <c r="F378" s="1" t="s">
        <v>1470</v>
      </c>
      <c r="G378" s="1" t="s">
        <v>1472</v>
      </c>
      <c r="H378" s="1">
        <v>49.9932040979531</v>
      </c>
      <c r="I378" s="1" t="s">
        <v>33</v>
      </c>
      <c r="J378" s="1" t="s">
        <v>33</v>
      </c>
      <c r="K378" s="1">
        <v>49.9932040979531</v>
      </c>
      <c r="L378" s="1">
        <v>14.9698396625693</v>
      </c>
      <c r="M378" s="1">
        <v>93.5749360908111</v>
      </c>
      <c r="N378" s="1" t="s">
        <v>36</v>
      </c>
    </row>
    <row r="379" ht="15.75" customHeight="1">
      <c r="A379" s="1">
        <v>28.0</v>
      </c>
      <c r="B379" s="1">
        <v>28.0</v>
      </c>
      <c r="C379" s="1" t="s">
        <v>55</v>
      </c>
      <c r="D379" s="1" t="s">
        <v>1477</v>
      </c>
      <c r="E379" s="1" t="s">
        <v>57</v>
      </c>
      <c r="F379" s="1" t="s">
        <v>1478</v>
      </c>
      <c r="G379" s="1" t="s">
        <v>1479</v>
      </c>
      <c r="H379" s="1">
        <v>14.1831283218692</v>
      </c>
      <c r="I379" s="1">
        <v>21.2026742888152</v>
      </c>
      <c r="J379" s="1" t="s">
        <v>33</v>
      </c>
      <c r="K379" s="1" t="s">
        <v>33</v>
      </c>
      <c r="L379" s="1">
        <v>8.33521416437052</v>
      </c>
      <c r="M379" s="1">
        <v>41.045038346729</v>
      </c>
      <c r="N379" s="1" t="s">
        <v>36</v>
      </c>
    </row>
    <row r="380" ht="15.75" customHeight="1">
      <c r="A380" s="1">
        <v>28.0</v>
      </c>
      <c r="B380" s="1">
        <v>29.0</v>
      </c>
      <c r="C380" s="1" t="s">
        <v>55</v>
      </c>
      <c r="D380" s="1" t="s">
        <v>1477</v>
      </c>
      <c r="E380" s="1" t="s">
        <v>57</v>
      </c>
      <c r="F380" s="1" t="s">
        <v>1480</v>
      </c>
      <c r="G380" s="1" t="s">
        <v>1482</v>
      </c>
      <c r="H380" s="1">
        <v>3.78240412916083</v>
      </c>
      <c r="I380" s="1">
        <v>0.0</v>
      </c>
      <c r="J380" s="1" t="s">
        <v>33</v>
      </c>
      <c r="K380" s="1" t="s">
        <v>33</v>
      </c>
      <c r="L380" s="1">
        <v>11.0368692555397</v>
      </c>
      <c r="M380" s="1">
        <v>19.9825998609942</v>
      </c>
      <c r="N380" s="1" t="s">
        <v>36</v>
      </c>
    </row>
    <row r="381" ht="15.75" customHeight="1">
      <c r="A381" s="1">
        <v>28.0</v>
      </c>
      <c r="B381" s="1">
        <v>30.0</v>
      </c>
      <c r="C381" s="1" t="s">
        <v>74</v>
      </c>
      <c r="D381" s="1" t="s">
        <v>1477</v>
      </c>
      <c r="E381" s="1" t="s">
        <v>57</v>
      </c>
      <c r="F381" s="1" t="s">
        <v>1480</v>
      </c>
      <c r="G381" s="1" t="s">
        <v>1482</v>
      </c>
      <c r="H381" s="1">
        <v>0.0</v>
      </c>
      <c r="I381" s="1">
        <v>18.4623216853924</v>
      </c>
      <c r="J381" s="1" t="s">
        <v>33</v>
      </c>
      <c r="K381" s="1" t="s">
        <v>33</v>
      </c>
      <c r="L381" s="1">
        <v>11.0368692555397</v>
      </c>
      <c r="M381" s="1">
        <v>19.9825998609942</v>
      </c>
      <c r="N381" s="1" t="s">
        <v>36</v>
      </c>
    </row>
    <row r="382" ht="15.75" customHeight="1">
      <c r="A382" s="1">
        <v>28.0</v>
      </c>
      <c r="B382" s="1">
        <v>31.0</v>
      </c>
      <c r="C382" s="1" t="s">
        <v>55</v>
      </c>
      <c r="D382" s="1" t="s">
        <v>1477</v>
      </c>
      <c r="E382" s="1" t="s">
        <v>57</v>
      </c>
      <c r="F382" s="1" t="s">
        <v>1489</v>
      </c>
      <c r="G382" s="1" t="s">
        <v>1492</v>
      </c>
      <c r="H382" s="1">
        <v>10.2015571856099</v>
      </c>
      <c r="I382" s="1">
        <v>10.2015571856099</v>
      </c>
      <c r="J382" s="1" t="s">
        <v>33</v>
      </c>
      <c r="K382" s="1" t="s">
        <v>33</v>
      </c>
      <c r="L382" s="1">
        <v>20.3682254794286</v>
      </c>
      <c r="M382" s="1">
        <v>14.1250498174415</v>
      </c>
      <c r="N382" s="1" t="s">
        <v>36</v>
      </c>
    </row>
    <row r="383" ht="15.75" customHeight="1">
      <c r="A383" s="1">
        <v>28.0</v>
      </c>
      <c r="B383" s="1">
        <v>32.0</v>
      </c>
      <c r="C383" s="1" t="s">
        <v>55</v>
      </c>
      <c r="D383" s="1" t="s">
        <v>1477</v>
      </c>
      <c r="E383" s="1" t="s">
        <v>98</v>
      </c>
      <c r="F383" s="1" t="s">
        <v>1493</v>
      </c>
      <c r="G383" s="1" t="s">
        <v>1494</v>
      </c>
      <c r="H383" s="1">
        <v>10.4452102421539</v>
      </c>
      <c r="I383" s="1">
        <v>0.0</v>
      </c>
      <c r="J383" s="1" t="s">
        <v>33</v>
      </c>
      <c r="K383" s="1" t="s">
        <v>33</v>
      </c>
      <c r="L383" s="1">
        <v>24.8059860408186</v>
      </c>
      <c r="M383" s="1">
        <v>4.53405051873051</v>
      </c>
      <c r="N383" s="1" t="s">
        <v>36</v>
      </c>
    </row>
    <row r="384" ht="15.75" customHeight="1">
      <c r="A384" s="1">
        <v>28.0</v>
      </c>
      <c r="B384" s="1">
        <v>33.0</v>
      </c>
      <c r="C384" s="1" t="s">
        <v>74</v>
      </c>
      <c r="D384" s="1" t="s">
        <v>1477</v>
      </c>
      <c r="E384" s="1" t="s">
        <v>98</v>
      </c>
      <c r="F384" s="1" t="s">
        <v>1493</v>
      </c>
      <c r="G384" s="1" t="s">
        <v>1494</v>
      </c>
      <c r="H384" s="1">
        <v>0.0</v>
      </c>
      <c r="I384" s="1">
        <v>13.2398219026472</v>
      </c>
      <c r="J384" s="1" t="s">
        <v>33</v>
      </c>
      <c r="K384" s="1" t="s">
        <v>33</v>
      </c>
      <c r="L384" s="1">
        <v>24.8059860408186</v>
      </c>
      <c r="M384" s="1">
        <v>4.53405051873051</v>
      </c>
      <c r="N384" s="1" t="s">
        <v>36</v>
      </c>
    </row>
    <row r="385" ht="15.75" customHeight="1">
      <c r="A385" s="1">
        <v>28.0</v>
      </c>
      <c r="B385" s="1">
        <v>34.0</v>
      </c>
      <c r="C385" s="1" t="s">
        <v>74</v>
      </c>
      <c r="D385" s="1" t="s">
        <v>1477</v>
      </c>
      <c r="E385" s="1" t="s">
        <v>98</v>
      </c>
      <c r="F385" s="1" t="s">
        <v>1495</v>
      </c>
      <c r="G385" s="1" t="s">
        <v>1496</v>
      </c>
      <c r="H385" s="1">
        <v>13.0716700156353</v>
      </c>
      <c r="I385" s="1">
        <v>13.2398219026472</v>
      </c>
      <c r="J385" s="1" t="s">
        <v>33</v>
      </c>
      <c r="K385" s="1" t="s">
        <v>33</v>
      </c>
      <c r="L385" s="1">
        <v>24.8198765494016</v>
      </c>
      <c r="M385" s="1">
        <v>7.53074928310231</v>
      </c>
      <c r="N385" s="1" t="s">
        <v>36</v>
      </c>
    </row>
    <row r="386" ht="15.75" customHeight="1">
      <c r="A386" s="1">
        <v>28.0</v>
      </c>
      <c r="B386" s="1">
        <v>35.0</v>
      </c>
      <c r="C386" s="1" t="s">
        <v>55</v>
      </c>
      <c r="D386" s="1" t="s">
        <v>1477</v>
      </c>
      <c r="E386" s="1" t="s">
        <v>57</v>
      </c>
      <c r="F386" s="1" t="s">
        <v>1499</v>
      </c>
      <c r="G386" s="1" t="s">
        <v>1500</v>
      </c>
      <c r="H386" s="1">
        <v>11.7122524299318</v>
      </c>
      <c r="I386" s="1">
        <v>3.86176591678568</v>
      </c>
      <c r="J386" s="1" t="s">
        <v>33</v>
      </c>
      <c r="K386" s="1" t="s">
        <v>33</v>
      </c>
      <c r="L386" s="1">
        <v>16.359773183924</v>
      </c>
      <c r="M386" s="1">
        <v>16.194384979495</v>
      </c>
      <c r="N386" s="1" t="s">
        <v>36</v>
      </c>
    </row>
    <row r="387" ht="15.75" customHeight="1">
      <c r="A387" s="1">
        <v>28.0</v>
      </c>
      <c r="B387" s="1">
        <v>36.0</v>
      </c>
      <c r="C387" s="1" t="s">
        <v>55</v>
      </c>
      <c r="D387" s="1" t="s">
        <v>1477</v>
      </c>
      <c r="E387" s="1" t="s">
        <v>57</v>
      </c>
      <c r="F387" s="1" t="s">
        <v>1502</v>
      </c>
      <c r="G387" s="1" t="s">
        <v>1503</v>
      </c>
      <c r="H387" s="1">
        <v>17.3948911173059</v>
      </c>
      <c r="I387" s="1">
        <v>0.0</v>
      </c>
      <c r="J387" s="1" t="s">
        <v>33</v>
      </c>
      <c r="K387" s="1" t="s">
        <v>33</v>
      </c>
      <c r="L387" s="1">
        <v>20.1462226840948</v>
      </c>
      <c r="M387" s="1">
        <v>0.935967976591179</v>
      </c>
      <c r="N387" s="1" t="s">
        <v>36</v>
      </c>
    </row>
    <row r="388" ht="15.75" customHeight="1">
      <c r="A388" s="1">
        <v>28.0</v>
      </c>
      <c r="B388" s="1">
        <v>37.0</v>
      </c>
      <c r="C388" s="1" t="s">
        <v>74</v>
      </c>
      <c r="D388" s="1" t="s">
        <v>1477</v>
      </c>
      <c r="E388" s="1" t="s">
        <v>57</v>
      </c>
      <c r="F388" s="1" t="s">
        <v>1504</v>
      </c>
      <c r="G388" s="1" t="s">
        <v>1505</v>
      </c>
      <c r="H388" s="1">
        <v>10.0794942829962</v>
      </c>
      <c r="I388" s="1">
        <v>10.0794942829962</v>
      </c>
      <c r="J388" s="1" t="s">
        <v>33</v>
      </c>
      <c r="K388" s="1" t="s">
        <v>33</v>
      </c>
      <c r="L388" s="1">
        <v>22.2689719040156</v>
      </c>
      <c r="M388" s="1">
        <v>10.4481457301199</v>
      </c>
      <c r="N388" s="1" t="s">
        <v>36</v>
      </c>
    </row>
    <row r="389" ht="15.75" customHeight="1">
      <c r="A389" s="1">
        <v>28.0</v>
      </c>
      <c r="B389" s="1">
        <v>38.0</v>
      </c>
      <c r="C389" s="1" t="s">
        <v>74</v>
      </c>
      <c r="D389" s="1" t="s">
        <v>1477</v>
      </c>
      <c r="E389" s="1" t="s">
        <v>57</v>
      </c>
      <c r="F389" s="1" t="s">
        <v>1502</v>
      </c>
      <c r="G389" s="1" t="s">
        <v>1503</v>
      </c>
      <c r="H389" s="1">
        <v>0.0</v>
      </c>
      <c r="I389" s="1">
        <v>10.0794942829962</v>
      </c>
      <c r="J389" s="1" t="s">
        <v>33</v>
      </c>
      <c r="K389" s="1" t="s">
        <v>33</v>
      </c>
      <c r="L389" s="1">
        <v>20.1462226840948</v>
      </c>
      <c r="M389" s="1">
        <v>0.935967976591179</v>
      </c>
      <c r="N389" s="1" t="s">
        <v>36</v>
      </c>
    </row>
    <row r="390" ht="15.75" customHeight="1">
      <c r="A390" s="1">
        <v>28.0</v>
      </c>
      <c r="B390" s="1">
        <v>40.0</v>
      </c>
      <c r="C390" s="1" t="s">
        <v>74</v>
      </c>
      <c r="D390" s="1" t="s">
        <v>1477</v>
      </c>
      <c r="E390" s="1" t="s">
        <v>57</v>
      </c>
      <c r="F390" s="1" t="s">
        <v>1510</v>
      </c>
      <c r="G390" s="1" t="s">
        <v>1511</v>
      </c>
      <c r="H390" s="1">
        <v>0.0</v>
      </c>
      <c r="I390" s="1">
        <v>10.7338646340951</v>
      </c>
      <c r="J390" s="1" t="s">
        <v>33</v>
      </c>
      <c r="K390" s="1" t="s">
        <v>33</v>
      </c>
      <c r="L390" s="1">
        <v>14.5019537202673</v>
      </c>
      <c r="M390" s="1">
        <v>13.3814725252177</v>
      </c>
      <c r="N390" s="1" t="s">
        <v>36</v>
      </c>
    </row>
    <row r="391" ht="15.75" customHeight="1">
      <c r="A391" s="1">
        <v>28.0</v>
      </c>
      <c r="B391" s="1">
        <v>41.0</v>
      </c>
      <c r="C391" s="1" t="s">
        <v>55</v>
      </c>
      <c r="D391" s="1" t="s">
        <v>1477</v>
      </c>
      <c r="E391" s="1" t="s">
        <v>57</v>
      </c>
      <c r="F391" s="1" t="s">
        <v>1510</v>
      </c>
      <c r="G391" s="1" t="s">
        <v>1511</v>
      </c>
      <c r="H391" s="1">
        <v>12.4895833805238</v>
      </c>
      <c r="I391" s="1">
        <v>0.0</v>
      </c>
      <c r="J391" s="1" t="s">
        <v>33</v>
      </c>
      <c r="K391" s="1" t="s">
        <v>33</v>
      </c>
      <c r="L391" s="1">
        <v>14.5019537202673</v>
      </c>
      <c r="M391" s="1">
        <v>13.3814725252177</v>
      </c>
      <c r="N391" s="1" t="s">
        <v>36</v>
      </c>
    </row>
    <row r="392" ht="15.75" customHeight="1">
      <c r="A392" s="1">
        <v>28.0</v>
      </c>
      <c r="B392" s="1">
        <v>42.0</v>
      </c>
      <c r="C392" s="1" t="s">
        <v>55</v>
      </c>
      <c r="D392" s="1" t="s">
        <v>1477</v>
      </c>
      <c r="E392" s="1" t="s">
        <v>57</v>
      </c>
      <c r="F392" s="1" t="s">
        <v>1515</v>
      </c>
      <c r="G392" s="1" t="s">
        <v>1516</v>
      </c>
      <c r="H392" s="1">
        <v>10.4058131825159</v>
      </c>
      <c r="I392" s="1">
        <v>12.4895833805238</v>
      </c>
      <c r="J392" s="1" t="s">
        <v>33</v>
      </c>
      <c r="K392" s="1" t="s">
        <v>33</v>
      </c>
      <c r="L392" s="1">
        <v>4.57837456356028</v>
      </c>
      <c r="M392" s="1">
        <v>20.9389268186774</v>
      </c>
      <c r="N392" s="1" t="s">
        <v>36</v>
      </c>
    </row>
    <row r="393" ht="15.75" customHeight="1">
      <c r="A393" s="1">
        <v>28.0</v>
      </c>
      <c r="B393" s="1">
        <v>43.0</v>
      </c>
      <c r="C393" s="1" t="s">
        <v>55</v>
      </c>
      <c r="D393" s="1" t="s">
        <v>1477</v>
      </c>
      <c r="E393" s="1" t="s">
        <v>57</v>
      </c>
      <c r="F393" s="1" t="s">
        <v>1519</v>
      </c>
      <c r="G393" s="1" t="s">
        <v>1520</v>
      </c>
      <c r="H393" s="1">
        <v>10.4058131825159</v>
      </c>
      <c r="I393" s="1">
        <v>12.2309930913575</v>
      </c>
      <c r="J393" s="1" t="s">
        <v>33</v>
      </c>
      <c r="K393" s="1" t="s">
        <v>33</v>
      </c>
      <c r="L393" s="1">
        <v>2.06193978292164</v>
      </c>
      <c r="M393" s="1">
        <v>30.2171562066296</v>
      </c>
      <c r="N393" s="1" t="s">
        <v>36</v>
      </c>
    </row>
    <row r="394" ht="15.75" customHeight="1">
      <c r="A394" s="1">
        <v>28.0</v>
      </c>
      <c r="B394" s="1">
        <v>44.0</v>
      </c>
      <c r="C394" s="1" t="s">
        <v>55</v>
      </c>
      <c r="D394" s="1" t="s">
        <v>1477</v>
      </c>
      <c r="E394" s="1" t="s">
        <v>57</v>
      </c>
      <c r="F394" s="1" t="s">
        <v>1480</v>
      </c>
      <c r="G394" s="1" t="s">
        <v>1482</v>
      </c>
      <c r="H394" s="1">
        <v>3.78240412916083</v>
      </c>
      <c r="I394" s="1">
        <v>0.0</v>
      </c>
      <c r="J394" s="1" t="s">
        <v>33</v>
      </c>
      <c r="K394" s="1" t="s">
        <v>33</v>
      </c>
      <c r="L394" s="1">
        <v>11.0368692555397</v>
      </c>
      <c r="M394" s="1">
        <v>19.9825998609942</v>
      </c>
      <c r="N394" s="1" t="s">
        <v>36</v>
      </c>
    </row>
    <row r="395" ht="15.75" customHeight="1">
      <c r="A395" s="1">
        <v>28.0</v>
      </c>
      <c r="B395" s="1">
        <v>45.0</v>
      </c>
      <c r="C395" s="1" t="s">
        <v>55</v>
      </c>
      <c r="D395" s="1" t="s">
        <v>1477</v>
      </c>
      <c r="E395" s="1" t="s">
        <v>57</v>
      </c>
      <c r="F395" s="1" t="s">
        <v>1524</v>
      </c>
      <c r="G395" s="1" t="s">
        <v>1526</v>
      </c>
      <c r="H395" s="1">
        <v>3.78240412916083</v>
      </c>
      <c r="I395" s="1">
        <v>3.78240412916083</v>
      </c>
      <c r="J395" s="1" t="s">
        <v>33</v>
      </c>
      <c r="K395" s="1" t="s">
        <v>33</v>
      </c>
      <c r="L395" s="1">
        <v>8.27655493200649</v>
      </c>
      <c r="M395" s="1">
        <v>18.1409070249154</v>
      </c>
      <c r="N395" s="1" t="s">
        <v>36</v>
      </c>
    </row>
    <row r="396" ht="15.75" customHeight="1">
      <c r="A396" s="1">
        <v>28.0</v>
      </c>
      <c r="B396" s="1">
        <v>46.0</v>
      </c>
      <c r="C396" s="1" t="s">
        <v>55</v>
      </c>
      <c r="D396" s="1" t="s">
        <v>1477</v>
      </c>
      <c r="E396" s="1" t="s">
        <v>57</v>
      </c>
      <c r="F396" s="1" t="s">
        <v>1528</v>
      </c>
      <c r="G396" s="1" t="s">
        <v>1529</v>
      </c>
      <c r="H396" s="1">
        <v>10.5201293247904</v>
      </c>
      <c r="I396" s="1">
        <v>13.8389343522556</v>
      </c>
      <c r="J396" s="1" t="s">
        <v>33</v>
      </c>
      <c r="K396" s="1" t="s">
        <v>33</v>
      </c>
      <c r="L396" s="1">
        <v>8.62226651865494</v>
      </c>
      <c r="M396" s="1">
        <v>10.1262853145367</v>
      </c>
      <c r="N396" s="1" t="s">
        <v>36</v>
      </c>
    </row>
    <row r="397" ht="15.75" customHeight="1">
      <c r="A397" s="1">
        <v>28.0</v>
      </c>
      <c r="B397" s="1">
        <v>47.0</v>
      </c>
      <c r="C397" s="1" t="s">
        <v>55</v>
      </c>
      <c r="D397" s="1" t="s">
        <v>1477</v>
      </c>
      <c r="E397" s="1" t="s">
        <v>57</v>
      </c>
      <c r="F397" s="1" t="s">
        <v>1530</v>
      </c>
      <c r="G397" s="1" t="s">
        <v>1531</v>
      </c>
      <c r="H397" s="1">
        <v>11.7122524299318</v>
      </c>
      <c r="I397" s="1">
        <v>10.4745539762005</v>
      </c>
      <c r="J397" s="1" t="s">
        <v>33</v>
      </c>
      <c r="K397" s="1" t="s">
        <v>33</v>
      </c>
      <c r="L397" s="1">
        <v>6.49211478780233</v>
      </c>
      <c r="M397" s="1">
        <v>16.154536188789</v>
      </c>
      <c r="N397" s="1" t="s">
        <v>36</v>
      </c>
    </row>
    <row r="398" ht="15.75" customHeight="1">
      <c r="A398" s="1">
        <v>28.0</v>
      </c>
      <c r="B398" s="1">
        <v>48.0</v>
      </c>
      <c r="C398" s="1" t="s">
        <v>55</v>
      </c>
      <c r="D398" s="1" t="s">
        <v>1477</v>
      </c>
      <c r="E398" s="1" t="s">
        <v>57</v>
      </c>
      <c r="F398" s="1" t="s">
        <v>1499</v>
      </c>
      <c r="G398" s="1" t="s">
        <v>1500</v>
      </c>
      <c r="H398" s="1">
        <v>11.7122524299318</v>
      </c>
      <c r="I398" s="1">
        <v>3.86176591678568</v>
      </c>
      <c r="J398" s="1" t="s">
        <v>33</v>
      </c>
      <c r="K398" s="1" t="s">
        <v>33</v>
      </c>
      <c r="L398" s="1">
        <v>16.359773183924</v>
      </c>
      <c r="M398" s="1">
        <v>16.194384979495</v>
      </c>
      <c r="N398" s="1" t="s">
        <v>36</v>
      </c>
    </row>
    <row r="399" ht="15.75" customHeight="1">
      <c r="A399" s="1">
        <v>28.0</v>
      </c>
      <c r="B399" s="1">
        <v>49.0</v>
      </c>
      <c r="C399" s="1" t="s">
        <v>74</v>
      </c>
      <c r="D399" s="1" t="s">
        <v>1477</v>
      </c>
      <c r="E399" s="1" t="s">
        <v>57</v>
      </c>
      <c r="F399" s="1" t="s">
        <v>1536</v>
      </c>
      <c r="G399" s="1" t="s">
        <v>1537</v>
      </c>
      <c r="H399" s="1">
        <v>3.86176591678568</v>
      </c>
      <c r="I399" s="1">
        <v>16.9060647396688</v>
      </c>
      <c r="J399" s="1" t="s">
        <v>33</v>
      </c>
      <c r="K399" s="1" t="s">
        <v>33</v>
      </c>
      <c r="L399" s="1">
        <v>13.0884454299112</v>
      </c>
      <c r="M399" s="1">
        <v>18.9866129444018</v>
      </c>
      <c r="N399" s="1" t="s">
        <v>36</v>
      </c>
    </row>
    <row r="400" ht="15.75" customHeight="1">
      <c r="A400" s="1">
        <v>28.0</v>
      </c>
      <c r="B400" s="1">
        <v>50.0</v>
      </c>
      <c r="C400" s="1" t="s">
        <v>55</v>
      </c>
      <c r="D400" s="1" t="s">
        <v>1477</v>
      </c>
      <c r="E400" s="1" t="s">
        <v>57</v>
      </c>
      <c r="F400" s="1" t="s">
        <v>1538</v>
      </c>
      <c r="G400" s="1" t="s">
        <v>1539</v>
      </c>
      <c r="H400" s="1">
        <v>10.5602705457761</v>
      </c>
      <c r="I400" s="1">
        <v>11.027849880992</v>
      </c>
      <c r="J400" s="1" t="s">
        <v>33</v>
      </c>
      <c r="K400" s="1" t="s">
        <v>33</v>
      </c>
      <c r="L400" s="1">
        <v>11.0066340885826</v>
      </c>
      <c r="M400" s="1">
        <v>29.9545245390157</v>
      </c>
      <c r="N400" s="1" t="s">
        <v>36</v>
      </c>
    </row>
    <row r="401" ht="15.75" customHeight="1">
      <c r="A401" s="1">
        <v>28.0</v>
      </c>
      <c r="B401" s="1">
        <v>51.0</v>
      </c>
      <c r="C401" s="1" t="s">
        <v>55</v>
      </c>
      <c r="D401" s="1" t="s">
        <v>1477</v>
      </c>
      <c r="E401" s="1" t="s">
        <v>57</v>
      </c>
      <c r="F401" s="1" t="s">
        <v>1540</v>
      </c>
      <c r="G401" s="1" t="s">
        <v>1541</v>
      </c>
      <c r="H401" s="1">
        <v>10.5602705457761</v>
      </c>
      <c r="I401" s="1">
        <v>11.0512825046819</v>
      </c>
      <c r="J401" s="1" t="s">
        <v>33</v>
      </c>
      <c r="K401" s="1" t="s">
        <v>33</v>
      </c>
      <c r="L401" s="1">
        <v>20.6670231089136</v>
      </c>
      <c r="M401" s="1">
        <v>26.0926183131826</v>
      </c>
      <c r="N401" s="1" t="s">
        <v>36</v>
      </c>
    </row>
    <row r="402" ht="15.75" customHeight="1">
      <c r="A402" s="1">
        <v>28.0</v>
      </c>
      <c r="B402" s="1">
        <v>52.0</v>
      </c>
      <c r="C402" s="1" t="s">
        <v>55</v>
      </c>
      <c r="D402" s="1" t="s">
        <v>1477</v>
      </c>
      <c r="E402" s="1" t="s">
        <v>57</v>
      </c>
      <c r="F402" s="1" t="s">
        <v>1540</v>
      </c>
      <c r="G402" s="1" t="s">
        <v>1541</v>
      </c>
      <c r="H402" s="1">
        <v>10.5602705457761</v>
      </c>
      <c r="I402" s="1">
        <v>11.0512825046819</v>
      </c>
      <c r="J402" s="1" t="s">
        <v>33</v>
      </c>
      <c r="K402" s="1" t="s">
        <v>33</v>
      </c>
      <c r="L402" s="1">
        <v>20.6670231089136</v>
      </c>
      <c r="M402" s="1">
        <v>26.0926183131826</v>
      </c>
      <c r="N402" s="1" t="s">
        <v>36</v>
      </c>
    </row>
    <row r="403" ht="15.75" customHeight="1">
      <c r="A403" s="1">
        <v>28.0</v>
      </c>
      <c r="B403" s="1">
        <v>53.0</v>
      </c>
      <c r="C403" s="1" t="s">
        <v>74</v>
      </c>
      <c r="D403" s="1" t="s">
        <v>1477</v>
      </c>
      <c r="E403" s="1" t="s">
        <v>57</v>
      </c>
      <c r="F403" s="1" t="s">
        <v>1542</v>
      </c>
      <c r="G403" s="1" t="s">
        <v>1543</v>
      </c>
      <c r="H403" s="1">
        <v>11.0512825046819</v>
      </c>
      <c r="I403" s="1">
        <v>27.7565254668287</v>
      </c>
      <c r="J403" s="1" t="s">
        <v>33</v>
      </c>
      <c r="K403" s="1" t="s">
        <v>33</v>
      </c>
      <c r="L403" s="1">
        <v>29.0259743970661</v>
      </c>
      <c r="M403" s="1">
        <v>26.7007466032715</v>
      </c>
      <c r="N403" s="1" t="s">
        <v>36</v>
      </c>
    </row>
    <row r="404" ht="15.75" customHeight="1">
      <c r="A404" s="1">
        <v>29.0</v>
      </c>
      <c r="B404" s="1">
        <v>16.0</v>
      </c>
      <c r="C404" s="1" t="s">
        <v>55</v>
      </c>
      <c r="D404" s="1" t="s">
        <v>1546</v>
      </c>
      <c r="E404" s="1" t="s">
        <v>57</v>
      </c>
      <c r="F404" s="1" t="s">
        <v>1547</v>
      </c>
      <c r="G404" s="1" t="s">
        <v>1548</v>
      </c>
      <c r="H404" s="1">
        <v>10.3288527918847</v>
      </c>
      <c r="I404" s="1">
        <v>285.88139044174</v>
      </c>
      <c r="J404" s="1" t="s">
        <v>33</v>
      </c>
      <c r="K404" s="1" t="s">
        <v>33</v>
      </c>
      <c r="L404" s="1">
        <v>7.79277638368799</v>
      </c>
      <c r="M404" s="1">
        <v>102.080763141878</v>
      </c>
      <c r="N404" s="1" t="s">
        <v>36</v>
      </c>
    </row>
    <row r="405" ht="15.75" customHeight="1">
      <c r="A405" s="1">
        <v>29.0</v>
      </c>
      <c r="B405" s="1">
        <v>17.0</v>
      </c>
      <c r="C405" s="1" t="s">
        <v>55</v>
      </c>
      <c r="D405" s="1" t="s">
        <v>1546</v>
      </c>
      <c r="E405" s="1" t="s">
        <v>57</v>
      </c>
      <c r="F405" s="1" t="s">
        <v>1549</v>
      </c>
      <c r="G405" s="1" t="s">
        <v>1550</v>
      </c>
      <c r="H405" s="1">
        <v>10.3288527918847</v>
      </c>
      <c r="I405" s="1">
        <v>276.498248444732</v>
      </c>
      <c r="J405" s="1" t="s">
        <v>33</v>
      </c>
      <c r="K405" s="1" t="s">
        <v>33</v>
      </c>
      <c r="L405" s="1">
        <v>12.7907642281656</v>
      </c>
      <c r="M405" s="1">
        <v>101.873938040352</v>
      </c>
      <c r="N405" s="1" t="s">
        <v>36</v>
      </c>
    </row>
    <row r="406" ht="15.75" customHeight="1">
      <c r="A406" s="1">
        <v>29.0</v>
      </c>
      <c r="B406" s="1">
        <v>18.0</v>
      </c>
      <c r="C406" s="1" t="s">
        <v>55</v>
      </c>
      <c r="D406" s="1" t="s">
        <v>1546</v>
      </c>
      <c r="E406" s="1" t="s">
        <v>57</v>
      </c>
      <c r="F406" s="1" t="s">
        <v>1552</v>
      </c>
      <c r="G406" s="1" t="s">
        <v>1553</v>
      </c>
      <c r="H406" s="1">
        <v>14.3723653234422</v>
      </c>
      <c r="I406" s="1">
        <v>17.4647527324751</v>
      </c>
      <c r="J406" s="1" t="s">
        <v>33</v>
      </c>
      <c r="K406" s="1" t="s">
        <v>33</v>
      </c>
      <c r="L406" s="1">
        <v>19.4672534816008</v>
      </c>
      <c r="M406" s="1">
        <v>56.4766515511435</v>
      </c>
      <c r="N406" s="1" t="s">
        <v>36</v>
      </c>
    </row>
    <row r="407" ht="15.75" customHeight="1">
      <c r="A407" s="1">
        <v>29.0</v>
      </c>
      <c r="B407" s="1">
        <v>20.0</v>
      </c>
      <c r="C407" s="1" t="s">
        <v>55</v>
      </c>
      <c r="D407" s="1" t="s">
        <v>1546</v>
      </c>
      <c r="E407" s="1" t="s">
        <v>57</v>
      </c>
      <c r="F407" s="1" t="s">
        <v>1554</v>
      </c>
      <c r="G407" s="1" t="s">
        <v>1555</v>
      </c>
      <c r="H407" s="1">
        <v>7.50699786887161</v>
      </c>
      <c r="I407" s="1">
        <v>10.3936774048467</v>
      </c>
      <c r="J407" s="1" t="s">
        <v>33</v>
      </c>
      <c r="K407" s="1" t="s">
        <v>33</v>
      </c>
      <c r="L407" s="1">
        <v>3.72400098792719</v>
      </c>
      <c r="M407" s="1">
        <v>34.191891120729</v>
      </c>
      <c r="N407" s="1" t="s">
        <v>36</v>
      </c>
    </row>
    <row r="408" ht="15.75" customHeight="1">
      <c r="A408" s="1">
        <v>29.0</v>
      </c>
      <c r="B408" s="1">
        <v>21.0</v>
      </c>
      <c r="C408" s="1" t="s">
        <v>74</v>
      </c>
      <c r="D408" s="1" t="s">
        <v>1546</v>
      </c>
      <c r="E408" s="1" t="s">
        <v>57</v>
      </c>
      <c r="F408" s="1" t="s">
        <v>1558</v>
      </c>
      <c r="G408" s="1" t="s">
        <v>1561</v>
      </c>
      <c r="H408" s="1">
        <v>7.57420127797149</v>
      </c>
      <c r="I408" s="1" t="s">
        <v>33</v>
      </c>
      <c r="J408" s="1" t="s">
        <v>33</v>
      </c>
      <c r="K408" s="1" t="s">
        <v>33</v>
      </c>
      <c r="L408" s="1">
        <v>4.81085901055812</v>
      </c>
      <c r="M408" s="1">
        <v>43.5526420694342</v>
      </c>
      <c r="N408" s="1" t="s">
        <v>36</v>
      </c>
    </row>
    <row r="409" ht="15.75" customHeight="1">
      <c r="A409" s="1">
        <v>29.0</v>
      </c>
      <c r="B409" s="1">
        <v>22.0</v>
      </c>
      <c r="C409" s="1" t="s">
        <v>55</v>
      </c>
      <c r="D409" s="1" t="s">
        <v>1546</v>
      </c>
      <c r="E409" s="1" t="s">
        <v>57</v>
      </c>
      <c r="F409" s="1" t="s">
        <v>1554</v>
      </c>
      <c r="G409" s="1" t="s">
        <v>1555</v>
      </c>
      <c r="H409" s="1">
        <v>7.50699786887161</v>
      </c>
      <c r="I409" s="1">
        <v>10.3936774048467</v>
      </c>
      <c r="J409" s="1" t="s">
        <v>33</v>
      </c>
      <c r="K409" s="1" t="s">
        <v>33</v>
      </c>
      <c r="L409" s="1">
        <v>3.72400098792719</v>
      </c>
      <c r="M409" s="1">
        <v>34.191891120729</v>
      </c>
      <c r="N409" s="1" t="s">
        <v>36</v>
      </c>
    </row>
    <row r="410" ht="15.75" customHeight="1">
      <c r="A410" s="1">
        <v>29.0</v>
      </c>
      <c r="B410" s="1">
        <v>23.0</v>
      </c>
      <c r="C410" s="1" t="s">
        <v>55</v>
      </c>
      <c r="D410" s="1" t="s">
        <v>1546</v>
      </c>
      <c r="E410" s="1" t="s">
        <v>57</v>
      </c>
      <c r="F410" s="1" t="s">
        <v>1566</v>
      </c>
      <c r="G410" s="1" t="s">
        <v>1567</v>
      </c>
      <c r="H410" s="1">
        <v>7.50699786887161</v>
      </c>
      <c r="I410" s="1">
        <v>7.57420127797149</v>
      </c>
      <c r="J410" s="1" t="s">
        <v>33</v>
      </c>
      <c r="K410" s="1" t="s">
        <v>33</v>
      </c>
      <c r="L410" s="1">
        <v>3.64296932311688</v>
      </c>
      <c r="M410" s="1">
        <v>41.2040170252964</v>
      </c>
      <c r="N410" s="1" t="s">
        <v>36</v>
      </c>
    </row>
    <row r="411" ht="15.75" customHeight="1">
      <c r="A411" s="1">
        <v>29.0</v>
      </c>
      <c r="B411" s="1">
        <v>24.0</v>
      </c>
      <c r="C411" s="1" t="s">
        <v>55</v>
      </c>
      <c r="D411" s="1" t="s">
        <v>1546</v>
      </c>
      <c r="E411" s="1" t="s">
        <v>57</v>
      </c>
      <c r="F411" s="1" t="s">
        <v>1570</v>
      </c>
      <c r="G411" s="1" t="s">
        <v>1572</v>
      </c>
      <c r="H411" s="1">
        <v>11.2059330713242</v>
      </c>
      <c r="I411" s="1">
        <v>18.1464436461583</v>
      </c>
      <c r="J411" s="1" t="s">
        <v>33</v>
      </c>
      <c r="K411" s="1" t="s">
        <v>33</v>
      </c>
      <c r="L411" s="1">
        <v>9.69038844898107</v>
      </c>
      <c r="M411" s="1">
        <v>43.6086663020182</v>
      </c>
      <c r="N411" s="1" t="s">
        <v>36</v>
      </c>
    </row>
    <row r="412" ht="15.75" customHeight="1">
      <c r="A412" s="1">
        <v>29.0</v>
      </c>
      <c r="B412" s="1">
        <v>25.0</v>
      </c>
      <c r="C412" s="1" t="s">
        <v>55</v>
      </c>
      <c r="D412" s="1" t="s">
        <v>1546</v>
      </c>
      <c r="E412" s="1" t="s">
        <v>57</v>
      </c>
      <c r="F412" s="1" t="s">
        <v>1573</v>
      </c>
      <c r="G412" s="1" t="s">
        <v>1574</v>
      </c>
      <c r="H412" s="1">
        <v>10.0784951751648</v>
      </c>
      <c r="I412" s="1">
        <v>29.1386332213917</v>
      </c>
      <c r="J412" s="1" t="s">
        <v>33</v>
      </c>
      <c r="K412" s="1" t="s">
        <v>33</v>
      </c>
      <c r="L412" s="1">
        <v>20.2049905000672</v>
      </c>
      <c r="M412" s="1">
        <v>46.4643091996719</v>
      </c>
      <c r="N412" s="1" t="s">
        <v>36</v>
      </c>
    </row>
    <row r="413" ht="15.75" customHeight="1">
      <c r="A413" s="1">
        <v>29.0</v>
      </c>
      <c r="B413" s="1">
        <v>26.0</v>
      </c>
      <c r="C413" s="1" t="s">
        <v>55</v>
      </c>
      <c r="D413" s="1" t="s">
        <v>1546</v>
      </c>
      <c r="E413" s="1" t="s">
        <v>57</v>
      </c>
      <c r="F413" s="1" t="s">
        <v>1573</v>
      </c>
      <c r="G413" s="1" t="s">
        <v>1574</v>
      </c>
      <c r="H413" s="1">
        <v>10.0784951751648</v>
      </c>
      <c r="I413" s="1">
        <v>29.1386332213917</v>
      </c>
      <c r="J413" s="1" t="s">
        <v>33</v>
      </c>
      <c r="K413" s="1" t="s">
        <v>33</v>
      </c>
      <c r="L413" s="1">
        <v>20.2049905000672</v>
      </c>
      <c r="M413" s="1">
        <v>46.4643091996719</v>
      </c>
      <c r="N413" s="1" t="s">
        <v>36</v>
      </c>
    </row>
    <row r="414" ht="15.75" customHeight="1">
      <c r="A414" s="1">
        <v>29.0</v>
      </c>
      <c r="B414" s="1">
        <v>27.0</v>
      </c>
      <c r="C414" s="1" t="s">
        <v>55</v>
      </c>
      <c r="D414" s="1" t="s">
        <v>1546</v>
      </c>
      <c r="E414" s="1" t="s">
        <v>57</v>
      </c>
      <c r="F414" s="1" t="s">
        <v>1577</v>
      </c>
      <c r="G414" s="1" t="s">
        <v>1579</v>
      </c>
      <c r="H414" s="1">
        <v>10.0784951751648</v>
      </c>
      <c r="I414" s="1">
        <v>30.1243843589166</v>
      </c>
      <c r="J414" s="1" t="s">
        <v>33</v>
      </c>
      <c r="K414" s="1" t="s">
        <v>33</v>
      </c>
      <c r="L414" s="1">
        <v>25.2933167245077</v>
      </c>
      <c r="M414" s="1">
        <v>52.8530067629452</v>
      </c>
      <c r="N414" s="1" t="s">
        <v>36</v>
      </c>
    </row>
    <row r="415" ht="15.75" customHeight="1">
      <c r="A415" s="1">
        <v>30.0</v>
      </c>
      <c r="B415" s="1">
        <v>5.0</v>
      </c>
      <c r="C415" s="1" t="s">
        <v>74</v>
      </c>
      <c r="D415" s="1" t="s">
        <v>1586</v>
      </c>
      <c r="E415" s="1" t="s">
        <v>57</v>
      </c>
      <c r="F415" s="1" t="s">
        <v>1587</v>
      </c>
      <c r="G415" s="1" t="s">
        <v>1588</v>
      </c>
      <c r="H415" s="1">
        <v>2.1886116600727</v>
      </c>
      <c r="I415" s="1">
        <v>13.2850764392304</v>
      </c>
      <c r="J415" s="1" t="s">
        <v>33</v>
      </c>
      <c r="K415" s="1" t="s">
        <v>33</v>
      </c>
      <c r="L415" s="1">
        <v>9.20130620486323</v>
      </c>
      <c r="M415" s="1">
        <v>102.616231898719</v>
      </c>
      <c r="N415" s="1" t="s">
        <v>36</v>
      </c>
    </row>
    <row r="416" ht="15.75" customHeight="1">
      <c r="A416" s="1">
        <v>30.0</v>
      </c>
      <c r="B416" s="1">
        <v>6.0</v>
      </c>
      <c r="C416" s="1" t="s">
        <v>74</v>
      </c>
      <c r="D416" s="1" t="s">
        <v>1586</v>
      </c>
      <c r="E416" s="1" t="s">
        <v>57</v>
      </c>
      <c r="F416" s="1" t="s">
        <v>1589</v>
      </c>
      <c r="G416" s="1" t="s">
        <v>1590</v>
      </c>
      <c r="H416" s="1">
        <v>0.0</v>
      </c>
      <c r="I416" s="1">
        <v>12.5668233856719</v>
      </c>
      <c r="J416" s="1" t="s">
        <v>33</v>
      </c>
      <c r="K416" s="1" t="s">
        <v>33</v>
      </c>
      <c r="L416" s="1">
        <v>14.2204120067052</v>
      </c>
      <c r="M416" s="1">
        <v>112.283170611804</v>
      </c>
      <c r="N416" s="1" t="s">
        <v>36</v>
      </c>
    </row>
    <row r="417" ht="15.75" customHeight="1">
      <c r="A417" s="1">
        <v>30.0</v>
      </c>
      <c r="B417" s="1">
        <v>7.0</v>
      </c>
      <c r="C417" s="1" t="s">
        <v>55</v>
      </c>
      <c r="D417" s="1" t="s">
        <v>1586</v>
      </c>
      <c r="E417" s="1" t="s">
        <v>57</v>
      </c>
      <c r="F417" s="1" t="s">
        <v>1589</v>
      </c>
      <c r="G417" s="1" t="s">
        <v>1590</v>
      </c>
      <c r="H417" s="1">
        <v>12.5668233856719</v>
      </c>
      <c r="I417" s="1">
        <v>0.0</v>
      </c>
      <c r="J417" s="1" t="s">
        <v>33</v>
      </c>
      <c r="K417" s="1" t="s">
        <v>33</v>
      </c>
      <c r="L417" s="1">
        <v>14.2204120067052</v>
      </c>
      <c r="M417" s="1">
        <v>112.283170611804</v>
      </c>
      <c r="N417" s="1" t="s">
        <v>36</v>
      </c>
    </row>
    <row r="418" ht="15.75" customHeight="1">
      <c r="A418" s="1">
        <v>30.0</v>
      </c>
      <c r="B418" s="1">
        <v>8.0</v>
      </c>
      <c r="C418" s="1" t="s">
        <v>74</v>
      </c>
      <c r="D418" s="1" t="s">
        <v>1586</v>
      </c>
      <c r="E418" s="1" t="s">
        <v>57</v>
      </c>
      <c r="F418" s="1" t="s">
        <v>1591</v>
      </c>
      <c r="G418" s="1" t="s">
        <v>1592</v>
      </c>
      <c r="H418" s="1">
        <v>0.0</v>
      </c>
      <c r="I418" s="1">
        <v>10.6868675483868</v>
      </c>
      <c r="J418" s="1" t="s">
        <v>33</v>
      </c>
      <c r="K418" s="1" t="s">
        <v>33</v>
      </c>
      <c r="L418" s="1">
        <v>3.72684083280768</v>
      </c>
      <c r="M418" s="1">
        <v>103.401638667575</v>
      </c>
      <c r="N418" s="1" t="s">
        <v>36</v>
      </c>
    </row>
    <row r="419" ht="15.75" customHeight="1">
      <c r="A419" s="1">
        <v>30.0</v>
      </c>
      <c r="B419" s="1">
        <v>9.0</v>
      </c>
      <c r="C419" s="1" t="s">
        <v>74</v>
      </c>
      <c r="D419" s="1" t="s">
        <v>1586</v>
      </c>
      <c r="E419" s="1" t="s">
        <v>57</v>
      </c>
      <c r="F419" s="1" t="s">
        <v>1594</v>
      </c>
      <c r="G419" s="1" t="s">
        <v>1595</v>
      </c>
      <c r="H419" s="1">
        <v>3.3559702026261</v>
      </c>
      <c r="I419" s="1">
        <v>10.6868675483868</v>
      </c>
      <c r="J419" s="1" t="s">
        <v>33</v>
      </c>
      <c r="K419" s="1" t="s">
        <v>33</v>
      </c>
      <c r="L419" s="1">
        <v>4.49225074775053</v>
      </c>
      <c r="M419" s="1">
        <v>93.5577285619535</v>
      </c>
      <c r="N419" s="1" t="s">
        <v>36</v>
      </c>
    </row>
    <row r="420" ht="15.75" customHeight="1">
      <c r="A420" s="1">
        <v>30.0</v>
      </c>
      <c r="B420" s="1">
        <v>10.0</v>
      </c>
      <c r="C420" s="1" t="s">
        <v>55</v>
      </c>
      <c r="D420" s="1" t="s">
        <v>1586</v>
      </c>
      <c r="E420" s="1" t="s">
        <v>57</v>
      </c>
      <c r="F420" s="1" t="s">
        <v>1597</v>
      </c>
      <c r="G420" s="1" t="s">
        <v>1598</v>
      </c>
      <c r="H420" s="1">
        <v>10.212289704266</v>
      </c>
      <c r="I420" s="1">
        <v>2.1886116600727</v>
      </c>
      <c r="J420" s="1" t="s">
        <v>33</v>
      </c>
      <c r="K420" s="1" t="s">
        <v>33</v>
      </c>
      <c r="L420" s="1">
        <v>7.35935568242418</v>
      </c>
      <c r="M420" s="1">
        <v>101.478477204198</v>
      </c>
      <c r="N420" s="1" t="s">
        <v>36</v>
      </c>
    </row>
    <row r="421" ht="15.75" customHeight="1">
      <c r="A421" s="1">
        <v>30.0</v>
      </c>
      <c r="B421" s="1">
        <v>11.0</v>
      </c>
      <c r="C421" s="1" t="s">
        <v>55</v>
      </c>
      <c r="D421" s="1" t="s">
        <v>1586</v>
      </c>
      <c r="E421" s="1" t="s">
        <v>57</v>
      </c>
      <c r="F421" s="1" t="s">
        <v>1591</v>
      </c>
      <c r="G421" s="1" t="s">
        <v>1592</v>
      </c>
      <c r="H421" s="1">
        <v>6.2221546909407</v>
      </c>
      <c r="I421" s="1">
        <v>0.0</v>
      </c>
      <c r="J421" s="1" t="s">
        <v>33</v>
      </c>
      <c r="K421" s="1" t="s">
        <v>33</v>
      </c>
      <c r="L421" s="1">
        <v>3.72684083280768</v>
      </c>
      <c r="M421" s="1">
        <v>103.401638667575</v>
      </c>
      <c r="N421" s="1" t="s">
        <v>36</v>
      </c>
    </row>
    <row r="422" ht="15.75" customHeight="1">
      <c r="A422" s="1">
        <v>30.0</v>
      </c>
      <c r="B422" s="1">
        <v>12.0</v>
      </c>
      <c r="C422" s="1" t="s">
        <v>55</v>
      </c>
      <c r="D422" s="1" t="s">
        <v>1586</v>
      </c>
      <c r="E422" s="1" t="s">
        <v>57</v>
      </c>
      <c r="F422" s="1" t="s">
        <v>1599</v>
      </c>
      <c r="G422" s="1" t="s">
        <v>1600</v>
      </c>
      <c r="H422" s="1">
        <v>9.05339814640213</v>
      </c>
      <c r="I422" s="1">
        <v>3.3559702026261</v>
      </c>
      <c r="J422" s="1" t="s">
        <v>33</v>
      </c>
      <c r="K422" s="1" t="s">
        <v>33</v>
      </c>
      <c r="L422" s="1">
        <v>1.13895713562781</v>
      </c>
      <c r="M422" s="1">
        <v>96.5200782713074</v>
      </c>
      <c r="N422" s="1" t="s">
        <v>36</v>
      </c>
    </row>
    <row r="423" ht="15.75" customHeight="1">
      <c r="A423" s="1">
        <v>30.0</v>
      </c>
      <c r="B423" s="1">
        <v>14.0</v>
      </c>
      <c r="C423" s="1" t="s">
        <v>55</v>
      </c>
      <c r="D423" s="1" t="s">
        <v>1586</v>
      </c>
      <c r="E423" s="1" t="s">
        <v>57</v>
      </c>
      <c r="F423" s="1" t="s">
        <v>1602</v>
      </c>
      <c r="G423" s="1" t="s">
        <v>1603</v>
      </c>
      <c r="H423" s="1">
        <v>5.19331820690755</v>
      </c>
      <c r="I423" s="1">
        <v>6.2221546909407</v>
      </c>
      <c r="J423" s="1" t="s">
        <v>33</v>
      </c>
      <c r="K423" s="1" t="s">
        <v>33</v>
      </c>
      <c r="L423" s="1">
        <v>2.24978448603362</v>
      </c>
      <c r="M423" s="1">
        <v>101.945961102992</v>
      </c>
      <c r="N423" s="1" t="s">
        <v>36</v>
      </c>
    </row>
    <row r="424" ht="15.75" customHeight="1">
      <c r="A424" s="1">
        <v>30.0</v>
      </c>
      <c r="B424" s="1">
        <v>15.0</v>
      </c>
      <c r="C424" s="1" t="s">
        <v>55</v>
      </c>
      <c r="D424" s="1" t="s">
        <v>1586</v>
      </c>
      <c r="E424" s="1" t="s">
        <v>57</v>
      </c>
      <c r="F424" s="1" t="s">
        <v>1609</v>
      </c>
      <c r="G424" s="1" t="s">
        <v>1610</v>
      </c>
      <c r="H424" s="1">
        <v>5.19331820690755</v>
      </c>
      <c r="I424" s="1">
        <v>10.8321693575827</v>
      </c>
      <c r="J424" s="1" t="s">
        <v>33</v>
      </c>
      <c r="K424" s="1" t="s">
        <v>33</v>
      </c>
      <c r="L424" s="1">
        <v>0.500033866175798</v>
      </c>
      <c r="M424" s="1">
        <v>98.0639603634219</v>
      </c>
      <c r="N424" s="1" t="s">
        <v>36</v>
      </c>
    </row>
    <row r="425" ht="15.75" customHeight="1">
      <c r="A425" s="1">
        <v>31.0</v>
      </c>
      <c r="B425" s="1">
        <v>1.0</v>
      </c>
      <c r="C425" s="1" t="s">
        <v>74</v>
      </c>
      <c r="D425" s="1" t="s">
        <v>1613</v>
      </c>
      <c r="E425" s="1" t="s">
        <v>57</v>
      </c>
      <c r="F425" s="1" t="s">
        <v>1614</v>
      </c>
      <c r="G425" s="1" t="s">
        <v>1615</v>
      </c>
      <c r="H425" s="1">
        <v>0.0</v>
      </c>
      <c r="I425" s="1" t="s">
        <v>33</v>
      </c>
      <c r="J425" s="1" t="s">
        <v>33</v>
      </c>
      <c r="K425" s="1" t="s">
        <v>33</v>
      </c>
      <c r="L425" s="1">
        <v>12.2085509870759</v>
      </c>
      <c r="M425" s="1">
        <v>3.60001178701889</v>
      </c>
      <c r="N425" s="1" t="s">
        <v>36</v>
      </c>
    </row>
    <row r="426" ht="15.75" customHeight="1">
      <c r="A426" s="1">
        <v>31.0</v>
      </c>
      <c r="B426" s="1">
        <v>2.0</v>
      </c>
      <c r="C426" s="1" t="s">
        <v>55</v>
      </c>
      <c r="D426" s="1" t="s">
        <v>1613</v>
      </c>
      <c r="E426" s="1" t="s">
        <v>57</v>
      </c>
      <c r="F426" s="1" t="s">
        <v>1614</v>
      </c>
      <c r="G426" s="1" t="s">
        <v>1615</v>
      </c>
      <c r="H426" s="1">
        <v>12.6309955266517</v>
      </c>
      <c r="I426" s="1">
        <v>0.0</v>
      </c>
      <c r="J426" s="1" t="s">
        <v>33</v>
      </c>
      <c r="K426" s="1" t="s">
        <v>33</v>
      </c>
      <c r="L426" s="1">
        <v>12.2085509870759</v>
      </c>
      <c r="M426" s="1">
        <v>3.60001178701889</v>
      </c>
      <c r="N426" s="1" t="s">
        <v>36</v>
      </c>
    </row>
    <row r="427" ht="15.75" customHeight="1">
      <c r="A427" s="1">
        <v>31.0</v>
      </c>
      <c r="B427" s="1">
        <v>3.0</v>
      </c>
      <c r="C427" s="1" t="s">
        <v>55</v>
      </c>
      <c r="D427" s="1" t="s">
        <v>1613</v>
      </c>
      <c r="E427" s="1" t="s">
        <v>57</v>
      </c>
      <c r="F427" s="1" t="s">
        <v>1619</v>
      </c>
      <c r="G427" s="1" t="s">
        <v>1620</v>
      </c>
      <c r="H427" s="1">
        <v>12.6309955266517</v>
      </c>
      <c r="I427" s="1">
        <v>12.6309955266517</v>
      </c>
      <c r="J427" s="1" t="s">
        <v>33</v>
      </c>
      <c r="K427" s="1" t="s">
        <v>33</v>
      </c>
      <c r="L427" s="1">
        <v>1.2920214792271</v>
      </c>
      <c r="M427" s="1">
        <v>15.1531531563209</v>
      </c>
      <c r="N427" s="1" t="s">
        <v>36</v>
      </c>
    </row>
    <row r="428" ht="15.75" customHeight="1">
      <c r="A428" s="1">
        <v>31.0</v>
      </c>
      <c r="B428" s="1">
        <v>4.0</v>
      </c>
      <c r="C428" s="1" t="s">
        <v>55</v>
      </c>
      <c r="D428" s="1" t="s">
        <v>1613</v>
      </c>
      <c r="E428" s="1" t="s">
        <v>57</v>
      </c>
      <c r="F428" s="1" t="s">
        <v>1621</v>
      </c>
      <c r="G428" s="1" t="s">
        <v>1622</v>
      </c>
      <c r="H428" s="1">
        <v>17.9871533038936</v>
      </c>
      <c r="I428" s="1">
        <v>28.1771652930494</v>
      </c>
      <c r="J428" s="1" t="s">
        <v>33</v>
      </c>
      <c r="K428" s="1" t="s">
        <v>33</v>
      </c>
      <c r="L428" s="1">
        <v>3.5561276809855</v>
      </c>
      <c r="M428" s="1">
        <v>21.6561149964724</v>
      </c>
      <c r="N428" s="1" t="s">
        <v>36</v>
      </c>
    </row>
    <row r="429" ht="15.75" customHeight="1">
      <c r="A429" s="1">
        <v>33.0</v>
      </c>
      <c r="B429" s="1">
        <v>514.0</v>
      </c>
      <c r="C429" s="1" t="s">
        <v>55</v>
      </c>
      <c r="D429" s="1" t="s">
        <v>286</v>
      </c>
      <c r="E429" s="1" t="s">
        <v>57</v>
      </c>
      <c r="F429" s="1" t="s">
        <v>1625</v>
      </c>
      <c r="G429" s="1" t="s">
        <v>1626</v>
      </c>
      <c r="H429" s="1">
        <v>7.07603914583278</v>
      </c>
      <c r="I429" s="1" t="s">
        <v>33</v>
      </c>
      <c r="J429" s="1" t="s">
        <v>33</v>
      </c>
      <c r="K429" s="1">
        <v>5.62524542972405</v>
      </c>
      <c r="L429" s="1">
        <v>6.68636387558989</v>
      </c>
      <c r="M429" s="1">
        <v>31.7981598676605</v>
      </c>
      <c r="N429" s="1" t="s">
        <v>36</v>
      </c>
    </row>
    <row r="430" ht="15.75" customHeight="1">
      <c r="A430" s="1">
        <v>33.0</v>
      </c>
      <c r="B430" s="1">
        <v>515.0</v>
      </c>
      <c r="C430" s="1" t="s">
        <v>55</v>
      </c>
      <c r="D430" s="1" t="s">
        <v>286</v>
      </c>
      <c r="E430" s="1" t="s">
        <v>98</v>
      </c>
      <c r="F430" s="1" t="s">
        <v>1629</v>
      </c>
      <c r="G430" s="1" t="s">
        <v>1630</v>
      </c>
      <c r="H430" s="1">
        <v>7.07603914583278</v>
      </c>
      <c r="I430" s="1" t="s">
        <v>33</v>
      </c>
      <c r="J430" s="1" t="s">
        <v>33</v>
      </c>
      <c r="K430" s="1">
        <v>4.25386762944716</v>
      </c>
      <c r="L430" s="1">
        <v>0.444421720725952</v>
      </c>
      <c r="M430" s="1">
        <v>38.8605652296752</v>
      </c>
      <c r="N430" s="1" t="s">
        <v>36</v>
      </c>
    </row>
    <row r="431" ht="15.75" customHeight="1">
      <c r="A431" s="1">
        <v>33.0</v>
      </c>
      <c r="B431" s="1">
        <v>516.0</v>
      </c>
      <c r="C431" s="1" t="s">
        <v>55</v>
      </c>
      <c r="D431" s="1" t="s">
        <v>286</v>
      </c>
      <c r="E431" s="1" t="s">
        <v>57</v>
      </c>
      <c r="F431" s="1" t="s">
        <v>1633</v>
      </c>
      <c r="G431" s="1" t="s">
        <v>1634</v>
      </c>
      <c r="H431" s="1">
        <v>12.2293078300457</v>
      </c>
      <c r="I431" s="1" t="s">
        <v>33</v>
      </c>
      <c r="J431" s="1" t="s">
        <v>33</v>
      </c>
      <c r="K431" s="1">
        <v>3.9545944421038</v>
      </c>
      <c r="L431" s="1">
        <v>7.83017160713113</v>
      </c>
      <c r="M431" s="1">
        <v>37.6895392665229</v>
      </c>
      <c r="N431" s="1" t="s">
        <v>36</v>
      </c>
    </row>
    <row r="432" ht="15.75" customHeight="1">
      <c r="A432" s="1">
        <v>33.0</v>
      </c>
      <c r="B432" s="1">
        <v>517.0</v>
      </c>
      <c r="C432" s="1" t="s">
        <v>55</v>
      </c>
      <c r="D432" s="1" t="s">
        <v>286</v>
      </c>
      <c r="E432" s="1" t="s">
        <v>57</v>
      </c>
      <c r="F432" s="1" t="s">
        <v>1638</v>
      </c>
      <c r="G432" s="1" t="s">
        <v>1639</v>
      </c>
      <c r="H432" s="1">
        <v>12.0767383423137</v>
      </c>
      <c r="I432" s="1" t="s">
        <v>33</v>
      </c>
      <c r="J432" s="1" t="s">
        <v>33</v>
      </c>
      <c r="K432" s="1">
        <v>18.7466966379083</v>
      </c>
      <c r="L432" s="1">
        <v>23.0223706959707</v>
      </c>
      <c r="M432" s="1">
        <v>19.9432980225405</v>
      </c>
      <c r="N432" s="1" t="s">
        <v>36</v>
      </c>
    </row>
    <row r="433" ht="15.75" customHeight="1">
      <c r="A433" s="1">
        <v>33.0</v>
      </c>
      <c r="B433" s="1">
        <v>518.0</v>
      </c>
      <c r="C433" s="1" t="s">
        <v>55</v>
      </c>
      <c r="D433" s="1" t="s">
        <v>286</v>
      </c>
      <c r="E433" s="1" t="s">
        <v>57</v>
      </c>
      <c r="F433" s="1" t="s">
        <v>1640</v>
      </c>
      <c r="G433" s="1" t="s">
        <v>1641</v>
      </c>
      <c r="H433" s="1">
        <v>12.0767383423137</v>
      </c>
      <c r="I433" s="1" t="s">
        <v>33</v>
      </c>
      <c r="J433" s="1" t="s">
        <v>33</v>
      </c>
      <c r="K433" s="1">
        <v>25.4327329303045</v>
      </c>
      <c r="L433" s="1">
        <v>26.2767271197819</v>
      </c>
      <c r="M433" s="1">
        <v>11.0692710121912</v>
      </c>
      <c r="N433" s="1" t="s">
        <v>36</v>
      </c>
    </row>
    <row r="434" ht="15.75" customHeight="1">
      <c r="A434" s="1">
        <v>33.0</v>
      </c>
      <c r="B434" s="1">
        <v>519.0</v>
      </c>
      <c r="C434" s="1" t="s">
        <v>55</v>
      </c>
      <c r="D434" s="1" t="s">
        <v>286</v>
      </c>
      <c r="E434" s="1" t="s">
        <v>98</v>
      </c>
      <c r="F434" s="1" t="s">
        <v>1646</v>
      </c>
      <c r="G434" s="1" t="s">
        <v>1647</v>
      </c>
      <c r="H434" s="1">
        <v>11.4609617837918</v>
      </c>
      <c r="I434" s="1" t="s">
        <v>33</v>
      </c>
      <c r="J434" s="1" t="s">
        <v>33</v>
      </c>
      <c r="K434" s="1">
        <v>35.4442468897335</v>
      </c>
      <c r="L434" s="1">
        <v>41.2199773387985</v>
      </c>
      <c r="M434" s="1">
        <v>3.17744261358511</v>
      </c>
      <c r="N434" s="1" t="s">
        <v>36</v>
      </c>
    </row>
    <row r="435" ht="15.75" customHeight="1">
      <c r="A435" s="1">
        <v>33.0</v>
      </c>
      <c r="B435" s="1">
        <v>520.0</v>
      </c>
      <c r="C435" s="1" t="s">
        <v>55</v>
      </c>
      <c r="D435" s="1" t="s">
        <v>286</v>
      </c>
      <c r="E435" s="1" t="s">
        <v>57</v>
      </c>
      <c r="F435" s="1" t="s">
        <v>1651</v>
      </c>
      <c r="G435" s="1" t="s">
        <v>1652</v>
      </c>
      <c r="H435" s="1">
        <v>11.4609617837918</v>
      </c>
      <c r="I435" s="1" t="s">
        <v>33</v>
      </c>
      <c r="J435" s="1" t="s">
        <v>33</v>
      </c>
      <c r="K435" s="1">
        <v>26.0830532317174</v>
      </c>
      <c r="L435" s="1">
        <v>34.6526351014287</v>
      </c>
      <c r="M435" s="1">
        <v>14.1845439421001</v>
      </c>
      <c r="N435" s="1" t="s">
        <v>36</v>
      </c>
    </row>
    <row r="436" ht="15.75" customHeight="1">
      <c r="A436" s="1">
        <v>33.0</v>
      </c>
      <c r="B436" s="1">
        <v>521.0</v>
      </c>
      <c r="C436" s="1" t="s">
        <v>55</v>
      </c>
      <c r="D436" s="1" t="s">
        <v>286</v>
      </c>
      <c r="E436" s="1" t="s">
        <v>57</v>
      </c>
      <c r="F436" s="1" t="s">
        <v>1660</v>
      </c>
      <c r="G436" s="1" t="s">
        <v>1661</v>
      </c>
      <c r="H436" s="1">
        <v>11.4901676670668</v>
      </c>
      <c r="I436" s="1" t="s">
        <v>33</v>
      </c>
      <c r="J436" s="1" t="s">
        <v>33</v>
      </c>
      <c r="K436" s="1">
        <v>33.4707554432402</v>
      </c>
      <c r="L436" s="1">
        <v>48.0895205206251</v>
      </c>
      <c r="M436" s="1">
        <v>16.9877750405547</v>
      </c>
      <c r="N436" s="1" t="s">
        <v>36</v>
      </c>
    </row>
    <row r="437" ht="15.75" customHeight="1">
      <c r="A437" s="1">
        <v>33.0</v>
      </c>
      <c r="B437" s="1">
        <v>522.0</v>
      </c>
      <c r="C437" s="1" t="s">
        <v>55</v>
      </c>
      <c r="D437" s="1" t="s">
        <v>286</v>
      </c>
      <c r="E437" s="1" t="s">
        <v>57</v>
      </c>
      <c r="F437" s="1" t="s">
        <v>1663</v>
      </c>
      <c r="G437" s="1" t="s">
        <v>1664</v>
      </c>
      <c r="H437" s="1">
        <v>11.4901676670668</v>
      </c>
      <c r="I437" s="1" t="s">
        <v>33</v>
      </c>
      <c r="J437" s="1" t="s">
        <v>33</v>
      </c>
      <c r="K437" s="1">
        <v>23.9199555910247</v>
      </c>
      <c r="L437" s="1">
        <v>59.0307794328939</v>
      </c>
      <c r="M437" s="1">
        <v>9.58399817346098</v>
      </c>
      <c r="N437" s="1" t="s">
        <v>36</v>
      </c>
    </row>
    <row r="438" ht="15.75" customHeight="1">
      <c r="A438" s="1">
        <v>33.0</v>
      </c>
      <c r="B438" s="1">
        <v>523.0</v>
      </c>
      <c r="C438" s="1" t="s">
        <v>55</v>
      </c>
      <c r="D438" s="1" t="s">
        <v>286</v>
      </c>
      <c r="E438" s="1" t="s">
        <v>57</v>
      </c>
      <c r="F438" s="1" t="s">
        <v>1665</v>
      </c>
      <c r="G438" s="1" t="s">
        <v>1666</v>
      </c>
      <c r="H438" s="1">
        <v>25.6643568592035</v>
      </c>
      <c r="I438" s="1" t="s">
        <v>33</v>
      </c>
      <c r="J438" s="1" t="s">
        <v>33</v>
      </c>
      <c r="K438" s="1">
        <v>4.10520603061132</v>
      </c>
      <c r="L438" s="1">
        <v>83.8868121430509</v>
      </c>
      <c r="M438" s="1">
        <v>2.73481911181838</v>
      </c>
      <c r="N438" s="1" t="s">
        <v>36</v>
      </c>
    </row>
    <row r="439" ht="15.75" customHeight="1">
      <c r="A439" s="1">
        <v>33.0</v>
      </c>
      <c r="B439" s="1">
        <v>524.0</v>
      </c>
      <c r="C439" s="1" t="s">
        <v>55</v>
      </c>
      <c r="D439" s="1" t="s">
        <v>286</v>
      </c>
      <c r="E439" s="1" t="s">
        <v>98</v>
      </c>
      <c r="F439" s="1" t="s">
        <v>1668</v>
      </c>
      <c r="G439" s="1" t="s">
        <v>1669</v>
      </c>
      <c r="H439" s="1">
        <v>9.87010942251641</v>
      </c>
      <c r="I439" s="1" t="s">
        <v>33</v>
      </c>
      <c r="J439" s="1" t="s">
        <v>33</v>
      </c>
      <c r="K439" s="1">
        <v>20.1010687844585</v>
      </c>
      <c r="L439" s="1">
        <v>12.8324805225161</v>
      </c>
      <c r="M439" s="1">
        <v>53.8368308650636</v>
      </c>
      <c r="N439" s="1" t="s">
        <v>36</v>
      </c>
    </row>
    <row r="440" ht="15.75" customHeight="1">
      <c r="A440" s="1">
        <v>33.0</v>
      </c>
      <c r="B440" s="1">
        <v>525.0</v>
      </c>
      <c r="C440" s="1" t="s">
        <v>55</v>
      </c>
      <c r="D440" s="1" t="s">
        <v>286</v>
      </c>
      <c r="E440" s="1" t="s">
        <v>98</v>
      </c>
      <c r="F440" s="1" t="s">
        <v>1671</v>
      </c>
      <c r="G440" s="1" t="s">
        <v>1673</v>
      </c>
      <c r="H440" s="1">
        <v>8.45543760007618</v>
      </c>
      <c r="I440" s="1" t="s">
        <v>33</v>
      </c>
      <c r="J440" s="1" t="s">
        <v>33</v>
      </c>
      <c r="K440" s="1">
        <v>13.9573984744918</v>
      </c>
      <c r="L440" s="1">
        <v>8.0752530776734</v>
      </c>
      <c r="M440" s="1">
        <v>26.2384388269753</v>
      </c>
      <c r="N440" s="1" t="s">
        <v>36</v>
      </c>
    </row>
    <row r="441" ht="15.75" customHeight="1">
      <c r="A441" s="1">
        <v>33.0</v>
      </c>
      <c r="B441" s="1">
        <v>526.0</v>
      </c>
      <c r="C441" s="1" t="s">
        <v>55</v>
      </c>
      <c r="D441" s="1" t="s">
        <v>286</v>
      </c>
      <c r="E441" s="1" t="s">
        <v>57</v>
      </c>
      <c r="F441" s="1" t="s">
        <v>1675</v>
      </c>
      <c r="G441" s="1" t="s">
        <v>1677</v>
      </c>
      <c r="H441" s="1">
        <v>9.87010942251641</v>
      </c>
      <c r="I441" s="1" t="s">
        <v>33</v>
      </c>
      <c r="J441" s="1" t="s">
        <v>33</v>
      </c>
      <c r="K441" s="1">
        <v>24.217642342543</v>
      </c>
      <c r="L441" s="1">
        <v>6.04489455309733</v>
      </c>
      <c r="M441" s="1">
        <v>63.6132296638986</v>
      </c>
      <c r="N441" s="1" t="s">
        <v>36</v>
      </c>
    </row>
    <row r="442" ht="15.75" customHeight="1">
      <c r="A442" s="1">
        <v>33.0</v>
      </c>
      <c r="B442" s="1">
        <v>527.0</v>
      </c>
      <c r="C442" s="1" t="s">
        <v>55</v>
      </c>
      <c r="D442" s="1" t="s">
        <v>286</v>
      </c>
      <c r="E442" s="1" t="s">
        <v>98</v>
      </c>
      <c r="F442" s="1" t="s">
        <v>1678</v>
      </c>
      <c r="G442" s="1" t="s">
        <v>1679</v>
      </c>
      <c r="H442" s="1">
        <v>11.6046299812092</v>
      </c>
      <c r="I442" s="1" t="s">
        <v>33</v>
      </c>
      <c r="J442" s="1" t="s">
        <v>33</v>
      </c>
      <c r="K442" s="1">
        <v>50.5638025632254</v>
      </c>
      <c r="L442" s="1">
        <v>10.9007260072017</v>
      </c>
      <c r="M442" s="1">
        <v>94.1285958990391</v>
      </c>
      <c r="N442" s="1" t="s">
        <v>36</v>
      </c>
    </row>
    <row r="443" ht="15.75" customHeight="1">
      <c r="A443" s="1">
        <v>33.0</v>
      </c>
      <c r="B443" s="1">
        <v>528.0</v>
      </c>
      <c r="C443" s="1" t="s">
        <v>55</v>
      </c>
      <c r="D443" s="1" t="s">
        <v>286</v>
      </c>
      <c r="E443" s="1" t="s">
        <v>98</v>
      </c>
      <c r="F443" s="1" t="s">
        <v>1680</v>
      </c>
      <c r="G443" s="1" t="s">
        <v>1681</v>
      </c>
      <c r="H443" s="1">
        <v>11.7044669257374</v>
      </c>
      <c r="I443" s="1" t="s">
        <v>33</v>
      </c>
      <c r="J443" s="1" t="s">
        <v>33</v>
      </c>
      <c r="K443" s="1">
        <v>38.8623553251425</v>
      </c>
      <c r="L443" s="1">
        <v>8.56123516250447</v>
      </c>
      <c r="M443" s="1">
        <v>83.4008607170073</v>
      </c>
      <c r="N443" s="1" t="s">
        <v>36</v>
      </c>
    </row>
    <row r="444" ht="15.75" customHeight="1">
      <c r="A444" s="1">
        <v>33.0</v>
      </c>
      <c r="B444" s="1">
        <v>529.0</v>
      </c>
      <c r="C444" s="1" t="s">
        <v>55</v>
      </c>
      <c r="D444" s="1" t="s">
        <v>286</v>
      </c>
      <c r="E444" s="1" t="s">
        <v>98</v>
      </c>
      <c r="F444" s="1" t="s">
        <v>1682</v>
      </c>
      <c r="G444" s="1" t="s">
        <v>1683</v>
      </c>
      <c r="H444" s="1">
        <v>11.6046299812092</v>
      </c>
      <c r="I444" s="1" t="s">
        <v>33</v>
      </c>
      <c r="J444" s="1" t="s">
        <v>33</v>
      </c>
      <c r="K444" s="1">
        <v>45.7607602466481</v>
      </c>
      <c r="L444" s="1">
        <v>0.147556983759648</v>
      </c>
      <c r="M444" s="1">
        <v>85.344574097467</v>
      </c>
      <c r="N444" s="1" t="s">
        <v>36</v>
      </c>
    </row>
    <row r="445" ht="15.75" customHeight="1">
      <c r="A445" s="1">
        <v>33.0</v>
      </c>
      <c r="B445" s="1">
        <v>530.0</v>
      </c>
      <c r="C445" s="1" t="s">
        <v>55</v>
      </c>
      <c r="D445" s="1" t="s">
        <v>286</v>
      </c>
      <c r="E445" s="1" t="s">
        <v>57</v>
      </c>
      <c r="F445" s="1" t="s">
        <v>1685</v>
      </c>
      <c r="G445" s="1" t="s">
        <v>1686</v>
      </c>
      <c r="H445" s="1">
        <v>16.950053598606</v>
      </c>
      <c r="I445" s="1" t="s">
        <v>33</v>
      </c>
      <c r="J445" s="1" t="s">
        <v>33</v>
      </c>
      <c r="K445" s="1">
        <v>3.24180087597752</v>
      </c>
      <c r="L445" s="1">
        <v>2.64561734638142</v>
      </c>
      <c r="M445" s="1">
        <v>51.1216213721908</v>
      </c>
      <c r="N445" s="1" t="s">
        <v>36</v>
      </c>
    </row>
    <row r="446" ht="15.75" customHeight="1">
      <c r="A446" s="1">
        <v>33.0</v>
      </c>
      <c r="B446" s="1">
        <v>544.0</v>
      </c>
      <c r="C446" s="1" t="s">
        <v>179</v>
      </c>
      <c r="D446" s="1" t="s">
        <v>286</v>
      </c>
      <c r="E446" s="1" t="s">
        <v>57</v>
      </c>
      <c r="F446" s="1" t="s">
        <v>1688</v>
      </c>
      <c r="G446" s="1" t="s">
        <v>1691</v>
      </c>
      <c r="H446" s="1">
        <v>3.9545944421038</v>
      </c>
      <c r="I446" s="1" t="s">
        <v>33</v>
      </c>
      <c r="J446" s="1" t="s">
        <v>33</v>
      </c>
      <c r="K446" s="1">
        <v>12.3096630515304</v>
      </c>
      <c r="L446" s="1">
        <v>9.3682389527506</v>
      </c>
      <c r="M446" s="1">
        <v>38.4216762974032</v>
      </c>
      <c r="N446" s="1" t="s">
        <v>36</v>
      </c>
    </row>
    <row r="447" ht="15.75" customHeight="1">
      <c r="A447" s="1">
        <v>33.0</v>
      </c>
      <c r="B447" s="1">
        <v>546.0</v>
      </c>
      <c r="C447" s="1" t="s">
        <v>179</v>
      </c>
      <c r="D447" s="1" t="s">
        <v>286</v>
      </c>
      <c r="E447" s="1" t="s">
        <v>57</v>
      </c>
      <c r="F447" s="1" t="s">
        <v>1694</v>
      </c>
      <c r="G447" s="1" t="s">
        <v>1695</v>
      </c>
      <c r="H447" s="1">
        <v>4.25386762944716</v>
      </c>
      <c r="I447" s="1" t="s">
        <v>33</v>
      </c>
      <c r="J447" s="1" t="s">
        <v>33</v>
      </c>
      <c r="K447" s="1">
        <v>12.6714987957937</v>
      </c>
      <c r="L447" s="1">
        <v>4.31372547570851</v>
      </c>
      <c r="M447" s="1">
        <v>36.4946514122421</v>
      </c>
      <c r="N447" s="1" t="s">
        <v>36</v>
      </c>
    </row>
    <row r="448" ht="15.75" customHeight="1">
      <c r="A448" s="1">
        <v>33.0</v>
      </c>
      <c r="B448" s="1">
        <v>545.0</v>
      </c>
      <c r="C448" s="1" t="s">
        <v>179</v>
      </c>
      <c r="D448" s="1" t="s">
        <v>286</v>
      </c>
      <c r="E448" s="1" t="s">
        <v>57</v>
      </c>
      <c r="F448" s="1" t="s">
        <v>1697</v>
      </c>
      <c r="G448" s="1" t="s">
        <v>1698</v>
      </c>
      <c r="H448" s="1">
        <v>4.10520603061132</v>
      </c>
      <c r="I448" s="1" t="s">
        <v>33</v>
      </c>
      <c r="J448" s="1" t="s">
        <v>33</v>
      </c>
      <c r="K448" s="1">
        <v>72.1233910515089</v>
      </c>
      <c r="L448" s="1">
        <v>81.0459819850653</v>
      </c>
      <c r="M448" s="1">
        <v>6.83377857946773</v>
      </c>
      <c r="N448" s="1" t="s">
        <v>36</v>
      </c>
    </row>
    <row r="449" ht="15.75" customHeight="1">
      <c r="A449" s="1">
        <v>33.0</v>
      </c>
      <c r="B449" s="1">
        <v>547.0</v>
      </c>
      <c r="C449" s="1" t="s">
        <v>179</v>
      </c>
      <c r="D449" s="1" t="s">
        <v>286</v>
      </c>
      <c r="E449" s="1" t="s">
        <v>57</v>
      </c>
      <c r="F449" s="1" t="s">
        <v>1701</v>
      </c>
      <c r="G449" s="1" t="s">
        <v>1702</v>
      </c>
      <c r="H449" s="1">
        <v>3.24180087597752</v>
      </c>
      <c r="I449" s="1" t="s">
        <v>33</v>
      </c>
      <c r="J449" s="1" t="s">
        <v>33</v>
      </c>
      <c r="K449" s="1">
        <v>12.3096630515304</v>
      </c>
      <c r="L449" s="1">
        <v>1.5398972750319</v>
      </c>
      <c r="M449" s="1">
        <v>50.2635248990735</v>
      </c>
      <c r="N449" s="1" t="s">
        <v>36</v>
      </c>
    </row>
    <row r="450" ht="15.75" customHeight="1">
      <c r="A450" s="1">
        <v>34.0</v>
      </c>
      <c r="B450" s="1">
        <v>479.0</v>
      </c>
      <c r="C450" s="1" t="s">
        <v>55</v>
      </c>
      <c r="D450" s="1" t="s">
        <v>300</v>
      </c>
      <c r="E450" s="1" t="s">
        <v>78</v>
      </c>
      <c r="F450" s="1" t="s">
        <v>1705</v>
      </c>
      <c r="G450" s="1" t="s">
        <v>1706</v>
      </c>
      <c r="H450" s="1">
        <v>10.2591247191205</v>
      </c>
      <c r="I450" s="1" t="s">
        <v>33</v>
      </c>
      <c r="J450" s="1" t="s">
        <v>33</v>
      </c>
      <c r="K450" s="1" t="s">
        <v>33</v>
      </c>
      <c r="L450" s="1">
        <v>40.0701270531181</v>
      </c>
      <c r="M450" s="1">
        <v>59.1934179077901</v>
      </c>
      <c r="N450" s="1" t="s">
        <v>31</v>
      </c>
    </row>
    <row r="451" ht="15.75" customHeight="1">
      <c r="A451" s="1">
        <v>34.0</v>
      </c>
      <c r="B451" s="1">
        <v>480.0</v>
      </c>
      <c r="C451" s="1" t="s">
        <v>55</v>
      </c>
      <c r="D451" s="1" t="s">
        <v>300</v>
      </c>
      <c r="E451" s="1" t="s">
        <v>78</v>
      </c>
      <c r="F451" s="1" t="s">
        <v>1707</v>
      </c>
      <c r="G451" s="1" t="s">
        <v>1708</v>
      </c>
      <c r="H451" s="1">
        <v>7.21554017344891</v>
      </c>
      <c r="I451" s="1" t="s">
        <v>33</v>
      </c>
      <c r="J451" s="1" t="s">
        <v>33</v>
      </c>
      <c r="K451" s="1" t="s">
        <v>33</v>
      </c>
      <c r="L451" s="1">
        <v>50.6966107692384</v>
      </c>
      <c r="M451" s="1">
        <v>67.6435103497646</v>
      </c>
      <c r="N451" s="1" t="s">
        <v>31</v>
      </c>
    </row>
    <row r="452" ht="15.75" customHeight="1">
      <c r="A452" s="1">
        <v>34.0</v>
      </c>
      <c r="B452" s="1">
        <v>481.0</v>
      </c>
      <c r="C452" s="1" t="s">
        <v>55</v>
      </c>
      <c r="D452" s="1" t="s">
        <v>300</v>
      </c>
      <c r="E452" s="1" t="s">
        <v>78</v>
      </c>
      <c r="F452" s="1" t="s">
        <v>1709</v>
      </c>
      <c r="G452" s="1" t="s">
        <v>1710</v>
      </c>
      <c r="H452" s="1">
        <v>7.21554017344891</v>
      </c>
      <c r="I452" s="1" t="s">
        <v>33</v>
      </c>
      <c r="J452" s="1" t="s">
        <v>33</v>
      </c>
      <c r="K452" s="1" t="s">
        <v>33</v>
      </c>
      <c r="L452" s="1">
        <v>49.1333490683413</v>
      </c>
      <c r="M452" s="1">
        <v>62.5206264382635</v>
      </c>
      <c r="N452" s="1" t="s">
        <v>31</v>
      </c>
    </row>
    <row r="453" ht="15.75" customHeight="1">
      <c r="A453" s="1">
        <v>34.0</v>
      </c>
      <c r="B453" s="1">
        <v>482.0</v>
      </c>
      <c r="C453" s="1" t="s">
        <v>55</v>
      </c>
      <c r="D453" s="1" t="s">
        <v>300</v>
      </c>
      <c r="E453" s="1" t="s">
        <v>78</v>
      </c>
      <c r="F453" s="1" t="s">
        <v>1712</v>
      </c>
      <c r="G453" s="1" t="s">
        <v>1713</v>
      </c>
      <c r="H453" s="1">
        <v>6.25341266823673</v>
      </c>
      <c r="I453" s="1" t="s">
        <v>33</v>
      </c>
      <c r="J453" s="1" t="s">
        <v>33</v>
      </c>
      <c r="K453" s="1" t="s">
        <v>33</v>
      </c>
      <c r="L453" s="1">
        <v>44.1753647500133</v>
      </c>
      <c r="M453" s="1">
        <v>53.689561529026</v>
      </c>
      <c r="N453" s="1" t="s">
        <v>31</v>
      </c>
    </row>
    <row r="454" ht="15.75" customHeight="1">
      <c r="A454" s="1">
        <v>34.0</v>
      </c>
      <c r="B454" s="1">
        <v>483.0</v>
      </c>
      <c r="C454" s="1" t="s">
        <v>55</v>
      </c>
      <c r="D454" s="1" t="s">
        <v>300</v>
      </c>
      <c r="E454" s="1" t="s">
        <v>78</v>
      </c>
      <c r="F454" s="1" t="s">
        <v>1714</v>
      </c>
      <c r="G454" s="1" t="s">
        <v>1715</v>
      </c>
      <c r="H454" s="1">
        <v>6.25341266823673</v>
      </c>
      <c r="I454" s="1" t="s">
        <v>33</v>
      </c>
      <c r="J454" s="1" t="s">
        <v>33</v>
      </c>
      <c r="K454" s="1" t="s">
        <v>33</v>
      </c>
      <c r="L454" s="1">
        <v>40.3499449893502</v>
      </c>
      <c r="M454" s="1">
        <v>53.7413842309578</v>
      </c>
      <c r="N454" s="1" t="s">
        <v>31</v>
      </c>
    </row>
    <row r="455" ht="15.75" customHeight="1">
      <c r="A455" s="1">
        <v>34.0</v>
      </c>
      <c r="B455" s="1">
        <v>484.0</v>
      </c>
      <c r="C455" s="1" t="s">
        <v>55</v>
      </c>
      <c r="D455" s="1" t="s">
        <v>300</v>
      </c>
      <c r="E455" s="1" t="s">
        <v>57</v>
      </c>
      <c r="F455" s="1" t="s">
        <v>1717</v>
      </c>
      <c r="G455" s="1" t="s">
        <v>1718</v>
      </c>
      <c r="H455" s="1">
        <v>9.55041967628156</v>
      </c>
      <c r="I455" s="1" t="s">
        <v>33</v>
      </c>
      <c r="J455" s="1" t="s">
        <v>33</v>
      </c>
      <c r="K455" s="1" t="s">
        <v>33</v>
      </c>
      <c r="L455" s="1">
        <v>53.013942019022</v>
      </c>
      <c r="M455" s="1">
        <v>59.7961023351285</v>
      </c>
      <c r="N455" s="1" t="s">
        <v>31</v>
      </c>
    </row>
    <row r="456" ht="15.75" customHeight="1">
      <c r="A456" s="1">
        <v>34.0</v>
      </c>
      <c r="B456" s="1">
        <v>485.0</v>
      </c>
      <c r="C456" s="1" t="s">
        <v>55</v>
      </c>
      <c r="D456" s="1" t="s">
        <v>300</v>
      </c>
      <c r="E456" s="1" t="s">
        <v>57</v>
      </c>
      <c r="F456" s="1" t="s">
        <v>1720</v>
      </c>
      <c r="G456" s="1" t="s">
        <v>1721</v>
      </c>
      <c r="H456" s="1">
        <v>8.65142416009944</v>
      </c>
      <c r="I456" s="1" t="s">
        <v>33</v>
      </c>
      <c r="J456" s="1" t="s">
        <v>33</v>
      </c>
      <c r="K456" s="1" t="s">
        <v>33</v>
      </c>
      <c r="L456" s="1">
        <v>57.8619540852944</v>
      </c>
      <c r="M456" s="1">
        <v>66.1792187373645</v>
      </c>
      <c r="N456" s="1" t="s">
        <v>31</v>
      </c>
    </row>
    <row r="457" ht="15.75" customHeight="1">
      <c r="A457" s="1">
        <v>34.0</v>
      </c>
      <c r="B457" s="1">
        <v>486.0</v>
      </c>
      <c r="C457" s="1" t="s">
        <v>55</v>
      </c>
      <c r="D457" s="1" t="s">
        <v>300</v>
      </c>
      <c r="E457" s="1" t="s">
        <v>57</v>
      </c>
      <c r="F457" s="1" t="s">
        <v>1722</v>
      </c>
      <c r="G457" s="1" t="s">
        <v>1723</v>
      </c>
      <c r="H457" s="1">
        <v>4.9636915694681</v>
      </c>
      <c r="I457" s="1" t="s">
        <v>33</v>
      </c>
      <c r="J457" s="1" t="s">
        <v>33</v>
      </c>
      <c r="K457" s="1" t="s">
        <v>33</v>
      </c>
      <c r="L457" s="1">
        <v>61.8344697052014</v>
      </c>
      <c r="M457" s="1">
        <v>72.5331030176396</v>
      </c>
      <c r="N457" s="1" t="s">
        <v>31</v>
      </c>
    </row>
    <row r="458" ht="15.75" customHeight="1">
      <c r="A458" s="1">
        <v>34.0</v>
      </c>
      <c r="B458" s="1">
        <v>487.0</v>
      </c>
      <c r="C458" s="1" t="s">
        <v>55</v>
      </c>
      <c r="D458" s="1" t="s">
        <v>300</v>
      </c>
      <c r="E458" s="1" t="s">
        <v>57</v>
      </c>
      <c r="F458" s="1" t="s">
        <v>1727</v>
      </c>
      <c r="G458" s="1" t="s">
        <v>1728</v>
      </c>
      <c r="H458" s="1">
        <v>4.9636915694681</v>
      </c>
      <c r="I458" s="1" t="s">
        <v>33</v>
      </c>
      <c r="J458" s="1" t="s">
        <v>33</v>
      </c>
      <c r="K458" s="1" t="s">
        <v>33</v>
      </c>
      <c r="L458" s="1">
        <v>66.1701798271631</v>
      </c>
      <c r="M458" s="1">
        <v>75.9939308533782</v>
      </c>
      <c r="N458" s="1" t="s">
        <v>31</v>
      </c>
    </row>
    <row r="459" ht="15.75" customHeight="1">
      <c r="A459" s="1">
        <v>34.0</v>
      </c>
      <c r="B459" s="1">
        <v>488.0</v>
      </c>
      <c r="C459" s="1" t="s">
        <v>55</v>
      </c>
      <c r="D459" s="1" t="s">
        <v>300</v>
      </c>
      <c r="E459" s="1" t="s">
        <v>78</v>
      </c>
      <c r="F459" s="1" t="s">
        <v>1730</v>
      </c>
      <c r="G459" s="1" t="s">
        <v>1731</v>
      </c>
      <c r="H459" s="1">
        <v>8.65142416009944</v>
      </c>
      <c r="I459" s="1" t="s">
        <v>33</v>
      </c>
      <c r="J459" s="1" t="s">
        <v>33</v>
      </c>
      <c r="K459" s="1" t="s">
        <v>33</v>
      </c>
      <c r="L459" s="1">
        <v>66.397417722247</v>
      </c>
      <c r="M459" s="1">
        <v>74.3162556119826</v>
      </c>
      <c r="N459" s="1" t="s">
        <v>31</v>
      </c>
    </row>
    <row r="460" ht="15.75" customHeight="1">
      <c r="A460" s="1">
        <v>34.0</v>
      </c>
      <c r="B460" s="1">
        <v>489.0</v>
      </c>
      <c r="C460" s="1" t="s">
        <v>55</v>
      </c>
      <c r="D460" s="1" t="s">
        <v>300</v>
      </c>
      <c r="E460" s="1" t="s">
        <v>78</v>
      </c>
      <c r="F460" s="1" t="s">
        <v>1732</v>
      </c>
      <c r="G460" s="1" t="s">
        <v>1733</v>
      </c>
      <c r="H460" s="1">
        <v>7.41837839418525</v>
      </c>
      <c r="I460" s="1" t="s">
        <v>33</v>
      </c>
      <c r="J460" s="1" t="s">
        <v>33</v>
      </c>
      <c r="K460" s="1" t="s">
        <v>33</v>
      </c>
      <c r="L460" s="1">
        <v>79.1928738162574</v>
      </c>
      <c r="M460" s="1">
        <v>88.2003135369868</v>
      </c>
      <c r="N460" s="1" t="s">
        <v>31</v>
      </c>
    </row>
    <row r="461" ht="15.75" customHeight="1">
      <c r="A461" s="1">
        <v>34.0</v>
      </c>
      <c r="B461" s="1">
        <v>490.0</v>
      </c>
      <c r="C461" s="1" t="s">
        <v>55</v>
      </c>
      <c r="D461" s="1" t="s">
        <v>300</v>
      </c>
      <c r="E461" s="1" t="s">
        <v>57</v>
      </c>
      <c r="F461" s="1" t="s">
        <v>1734</v>
      </c>
      <c r="G461" s="1" t="s">
        <v>1735</v>
      </c>
      <c r="H461" s="1">
        <v>7.41837839418525</v>
      </c>
      <c r="I461" s="1" t="s">
        <v>33</v>
      </c>
      <c r="J461" s="1" t="s">
        <v>33</v>
      </c>
      <c r="K461" s="1" t="s">
        <v>33</v>
      </c>
      <c r="L461" s="1">
        <v>84.8221930504113</v>
      </c>
      <c r="M461" s="1">
        <v>92.8478875512643</v>
      </c>
      <c r="N461" s="1" t="s">
        <v>31</v>
      </c>
    </row>
    <row r="462" ht="15.75" customHeight="1">
      <c r="A462" s="1">
        <v>34.0</v>
      </c>
      <c r="B462" s="1">
        <v>491.0</v>
      </c>
      <c r="C462" s="1" t="s">
        <v>55</v>
      </c>
      <c r="D462" s="1" t="s">
        <v>300</v>
      </c>
      <c r="E462" s="1" t="s">
        <v>57</v>
      </c>
      <c r="F462" s="1" t="s">
        <v>1736</v>
      </c>
      <c r="G462" s="1" t="s">
        <v>1737</v>
      </c>
      <c r="H462" s="1">
        <v>12.5734313533166</v>
      </c>
      <c r="I462" s="1" t="s">
        <v>33</v>
      </c>
      <c r="J462" s="1" t="s">
        <v>33</v>
      </c>
      <c r="K462" s="1" t="s">
        <v>33</v>
      </c>
      <c r="L462" s="1">
        <v>80.7302010558414</v>
      </c>
      <c r="M462" s="1">
        <v>88.7092581117701</v>
      </c>
      <c r="N462" s="1" t="s">
        <v>31</v>
      </c>
    </row>
    <row r="463" ht="15.75" customHeight="1">
      <c r="A463" s="1">
        <v>34.0</v>
      </c>
      <c r="B463" s="1">
        <v>492.0</v>
      </c>
      <c r="C463" s="1" t="s">
        <v>55</v>
      </c>
      <c r="D463" s="1" t="s">
        <v>300</v>
      </c>
      <c r="E463" s="1" t="s">
        <v>78</v>
      </c>
      <c r="F463" s="1" t="s">
        <v>1739</v>
      </c>
      <c r="G463" s="1" t="s">
        <v>1740</v>
      </c>
      <c r="H463" s="1">
        <v>9.84451288822676</v>
      </c>
      <c r="I463" s="1" t="s">
        <v>33</v>
      </c>
      <c r="J463" s="1" t="s">
        <v>33</v>
      </c>
      <c r="K463" s="1" t="s">
        <v>33</v>
      </c>
      <c r="L463" s="1">
        <v>29.4474936584687</v>
      </c>
      <c r="M463" s="1">
        <v>49.6860640282674</v>
      </c>
      <c r="N463" s="1" t="s">
        <v>31</v>
      </c>
    </row>
    <row r="464" ht="15.75" customHeight="1">
      <c r="A464" s="1">
        <v>34.0</v>
      </c>
      <c r="B464" s="1">
        <v>493.0</v>
      </c>
      <c r="C464" s="1" t="s">
        <v>55</v>
      </c>
      <c r="D464" s="1" t="s">
        <v>300</v>
      </c>
      <c r="E464" s="1" t="s">
        <v>78</v>
      </c>
      <c r="F464" s="1" t="s">
        <v>1742</v>
      </c>
      <c r="G464" s="1" t="s">
        <v>1743</v>
      </c>
      <c r="H464" s="1">
        <v>7.2992922945167</v>
      </c>
      <c r="I464" s="1" t="s">
        <v>33</v>
      </c>
      <c r="J464" s="1" t="s">
        <v>33</v>
      </c>
      <c r="K464" s="1" t="s">
        <v>33</v>
      </c>
      <c r="L464" s="1">
        <v>41.1055087024045</v>
      </c>
      <c r="M464" s="1">
        <v>58.3554398730205</v>
      </c>
      <c r="N464" s="1" t="s">
        <v>31</v>
      </c>
    </row>
    <row r="465" ht="15.75" customHeight="1">
      <c r="A465" s="1">
        <v>34.0</v>
      </c>
      <c r="B465" s="1">
        <v>494.0</v>
      </c>
      <c r="C465" s="1" t="s">
        <v>55</v>
      </c>
      <c r="D465" s="1" t="s">
        <v>300</v>
      </c>
      <c r="E465" s="1" t="s">
        <v>78</v>
      </c>
      <c r="F465" s="1" t="s">
        <v>1748</v>
      </c>
      <c r="G465" s="1" t="s">
        <v>1750</v>
      </c>
      <c r="H465" s="1">
        <v>6.53937305858832</v>
      </c>
      <c r="I465" s="1" t="s">
        <v>33</v>
      </c>
      <c r="J465" s="1" t="s">
        <v>33</v>
      </c>
      <c r="K465" s="1" t="s">
        <v>33</v>
      </c>
      <c r="L465" s="1">
        <v>49.1383907654916</v>
      </c>
      <c r="M465" s="1">
        <v>65.3433884500838</v>
      </c>
      <c r="N465" s="1" t="s">
        <v>31</v>
      </c>
    </row>
    <row r="466" ht="15.75" customHeight="1">
      <c r="A466" s="1">
        <v>34.0</v>
      </c>
      <c r="B466" s="1">
        <v>495.0</v>
      </c>
      <c r="C466" s="1" t="s">
        <v>55</v>
      </c>
      <c r="D466" s="1" t="s">
        <v>300</v>
      </c>
      <c r="E466" s="1" t="s">
        <v>78</v>
      </c>
      <c r="F466" s="1" t="s">
        <v>1752</v>
      </c>
      <c r="G466" s="1" t="s">
        <v>1753</v>
      </c>
      <c r="H466" s="1">
        <v>6.53937305858832</v>
      </c>
      <c r="I466" s="1" t="s">
        <v>33</v>
      </c>
      <c r="J466" s="1" t="s">
        <v>33</v>
      </c>
      <c r="K466" s="1" t="s">
        <v>33</v>
      </c>
      <c r="L466" s="1">
        <v>45.7693917651567</v>
      </c>
      <c r="M466" s="1">
        <v>59.8392305431109</v>
      </c>
      <c r="N466" s="1" t="s">
        <v>31</v>
      </c>
    </row>
    <row r="467" ht="15.75" customHeight="1">
      <c r="A467" s="1">
        <v>34.0</v>
      </c>
      <c r="B467" s="1">
        <v>496.0</v>
      </c>
      <c r="C467" s="1" t="s">
        <v>55</v>
      </c>
      <c r="D467" s="1" t="s">
        <v>300</v>
      </c>
      <c r="E467" s="1" t="s">
        <v>78</v>
      </c>
      <c r="F467" s="1" t="s">
        <v>1754</v>
      </c>
      <c r="G467" s="1" t="s">
        <v>1755</v>
      </c>
      <c r="H467" s="1">
        <v>6.12294185799705</v>
      </c>
      <c r="I467" s="1" t="s">
        <v>33</v>
      </c>
      <c r="J467" s="1" t="s">
        <v>33</v>
      </c>
      <c r="K467" s="1" t="s">
        <v>33</v>
      </c>
      <c r="L467" s="1">
        <v>31.6687888314409</v>
      </c>
      <c r="M467" s="1">
        <v>45.8202619512575</v>
      </c>
      <c r="N467" s="1" t="s">
        <v>31</v>
      </c>
    </row>
    <row r="468" ht="15.75" customHeight="1">
      <c r="A468" s="1">
        <v>34.0</v>
      </c>
      <c r="B468" s="1">
        <v>497.0</v>
      </c>
      <c r="C468" s="1" t="s">
        <v>55</v>
      </c>
      <c r="D468" s="1" t="s">
        <v>300</v>
      </c>
      <c r="E468" s="1" t="s">
        <v>78</v>
      </c>
      <c r="F468" s="1" t="s">
        <v>1758</v>
      </c>
      <c r="G468" s="1" t="s">
        <v>1759</v>
      </c>
      <c r="H468" s="1">
        <v>6.12294185799705</v>
      </c>
      <c r="I468" s="1" t="s">
        <v>33</v>
      </c>
      <c r="J468" s="1" t="s">
        <v>33</v>
      </c>
      <c r="K468" s="1" t="s">
        <v>33</v>
      </c>
      <c r="L468" s="1">
        <v>36.54937571154</v>
      </c>
      <c r="M468" s="1">
        <v>48.0329003839176</v>
      </c>
      <c r="N468" s="1" t="s">
        <v>31</v>
      </c>
    </row>
    <row r="469" ht="15.75" customHeight="1">
      <c r="A469" s="1">
        <v>34.0</v>
      </c>
      <c r="B469" s="1">
        <v>498.0</v>
      </c>
      <c r="C469" s="1" t="s">
        <v>55</v>
      </c>
      <c r="D469" s="1" t="s">
        <v>300</v>
      </c>
      <c r="E469" s="1" t="s">
        <v>78</v>
      </c>
      <c r="F469" s="1" t="s">
        <v>1762</v>
      </c>
      <c r="G469" s="1" t="s">
        <v>1763</v>
      </c>
      <c r="H469" s="1">
        <v>9.84451288822676</v>
      </c>
      <c r="I469" s="1" t="s">
        <v>33</v>
      </c>
      <c r="J469" s="1" t="s">
        <v>33</v>
      </c>
      <c r="K469" s="1" t="s">
        <v>33</v>
      </c>
      <c r="L469" s="1">
        <v>21.0306263625425</v>
      </c>
      <c r="M469" s="1">
        <v>39.8428798277542</v>
      </c>
      <c r="N469" s="1" t="s">
        <v>31</v>
      </c>
    </row>
    <row r="470" ht="15.75" customHeight="1">
      <c r="A470" s="1">
        <v>34.0</v>
      </c>
      <c r="B470" s="1">
        <v>499.0</v>
      </c>
      <c r="C470" s="1" t="s">
        <v>55</v>
      </c>
      <c r="D470" s="1" t="s">
        <v>300</v>
      </c>
      <c r="E470" s="1" t="s">
        <v>78</v>
      </c>
      <c r="F470" s="1" t="s">
        <v>1765</v>
      </c>
      <c r="G470" s="1" t="s">
        <v>1766</v>
      </c>
      <c r="H470" s="1">
        <v>14.6372003132199</v>
      </c>
      <c r="I470" s="1" t="s">
        <v>33</v>
      </c>
      <c r="J470" s="1" t="s">
        <v>33</v>
      </c>
      <c r="K470" s="1" t="s">
        <v>33</v>
      </c>
      <c r="L470" s="1">
        <v>49.2980897209079</v>
      </c>
      <c r="M470" s="1">
        <v>56.4047997034168</v>
      </c>
      <c r="N470" s="1" t="s">
        <v>31</v>
      </c>
    </row>
    <row r="471" ht="15.75" customHeight="1">
      <c r="A471" s="1">
        <v>34.0</v>
      </c>
      <c r="B471" s="1">
        <v>500.0</v>
      </c>
      <c r="C471" s="1" t="s">
        <v>55</v>
      </c>
      <c r="D471" s="1" t="s">
        <v>300</v>
      </c>
      <c r="E471" s="1" t="s">
        <v>78</v>
      </c>
      <c r="F471" s="1" t="s">
        <v>1767</v>
      </c>
      <c r="G471" s="1" t="s">
        <v>1768</v>
      </c>
      <c r="H471" s="1">
        <v>5.98051803743415</v>
      </c>
      <c r="I471" s="1" t="s">
        <v>33</v>
      </c>
      <c r="J471" s="1" t="s">
        <v>33</v>
      </c>
      <c r="K471" s="1" t="s">
        <v>33</v>
      </c>
      <c r="L471" s="1">
        <v>49.849164003322</v>
      </c>
      <c r="M471" s="1">
        <v>60.0482221125194</v>
      </c>
      <c r="N471" s="1" t="s">
        <v>31</v>
      </c>
    </row>
    <row r="472" ht="15.75" customHeight="1">
      <c r="A472" s="1">
        <v>34.0</v>
      </c>
      <c r="B472" s="1">
        <v>501.0</v>
      </c>
      <c r="C472" s="1" t="s">
        <v>55</v>
      </c>
      <c r="D472" s="1" t="s">
        <v>300</v>
      </c>
      <c r="E472" s="1" t="s">
        <v>78</v>
      </c>
      <c r="F472" s="1" t="s">
        <v>1771</v>
      </c>
      <c r="G472" s="1" t="s">
        <v>1772</v>
      </c>
      <c r="H472" s="1">
        <v>5.98051803743415</v>
      </c>
      <c r="I472" s="1" t="s">
        <v>33</v>
      </c>
      <c r="J472" s="1" t="s">
        <v>33</v>
      </c>
      <c r="K472" s="1" t="s">
        <v>33</v>
      </c>
      <c r="L472" s="1">
        <v>55.6841523220013</v>
      </c>
      <c r="M472" s="1">
        <v>65.3054815559805</v>
      </c>
      <c r="N472" s="1" t="s">
        <v>31</v>
      </c>
    </row>
    <row r="473" ht="15.75" customHeight="1">
      <c r="A473" s="1">
        <v>34.0</v>
      </c>
      <c r="B473" s="1">
        <v>502.0</v>
      </c>
      <c r="C473" s="1" t="s">
        <v>55</v>
      </c>
      <c r="D473" s="1" t="s">
        <v>300</v>
      </c>
      <c r="E473" s="1" t="s">
        <v>78</v>
      </c>
      <c r="F473" s="1" t="s">
        <v>1773</v>
      </c>
      <c r="G473" s="1" t="s">
        <v>1774</v>
      </c>
      <c r="H473" s="1">
        <v>5.87152927279347</v>
      </c>
      <c r="I473" s="1" t="s">
        <v>33</v>
      </c>
      <c r="J473" s="1" t="s">
        <v>33</v>
      </c>
      <c r="K473" s="1" t="s">
        <v>33</v>
      </c>
      <c r="L473" s="1">
        <v>67.0693957927409</v>
      </c>
      <c r="M473" s="1">
        <v>74.6260752189043</v>
      </c>
      <c r="N473" s="1" t="s">
        <v>31</v>
      </c>
    </row>
    <row r="474" ht="15.75" customHeight="1">
      <c r="A474" s="1">
        <v>34.0</v>
      </c>
      <c r="B474" s="1">
        <v>503.0</v>
      </c>
      <c r="C474" s="1" t="s">
        <v>55</v>
      </c>
      <c r="D474" s="1" t="s">
        <v>300</v>
      </c>
      <c r="E474" s="1" t="s">
        <v>78</v>
      </c>
      <c r="F474" s="1" t="s">
        <v>1776</v>
      </c>
      <c r="G474" s="1" t="s">
        <v>1777</v>
      </c>
      <c r="H474" s="1">
        <v>5.87152927279347</v>
      </c>
      <c r="I474" s="1" t="s">
        <v>33</v>
      </c>
      <c r="J474" s="1" t="s">
        <v>33</v>
      </c>
      <c r="K474" s="1" t="s">
        <v>33</v>
      </c>
      <c r="L474" s="1">
        <v>61.7255172045877</v>
      </c>
      <c r="M474" s="1">
        <v>70.0324999349524</v>
      </c>
      <c r="N474" s="1" t="s">
        <v>31</v>
      </c>
    </row>
    <row r="475" ht="15.75" customHeight="1">
      <c r="A475" s="1">
        <v>34.0</v>
      </c>
      <c r="B475" s="1">
        <v>504.0</v>
      </c>
      <c r="C475" s="1" t="s">
        <v>55</v>
      </c>
      <c r="D475" s="1" t="s">
        <v>300</v>
      </c>
      <c r="E475" s="1" t="s">
        <v>78</v>
      </c>
      <c r="F475" s="1" t="s">
        <v>1779</v>
      </c>
      <c r="G475" s="1" t="s">
        <v>1780</v>
      </c>
      <c r="H475" s="1">
        <v>6.25341266804297</v>
      </c>
      <c r="I475" s="1" t="s">
        <v>33</v>
      </c>
      <c r="J475" s="1" t="s">
        <v>33</v>
      </c>
      <c r="K475" s="1" t="s">
        <v>33</v>
      </c>
      <c r="L475" s="1">
        <v>69.9801734439682</v>
      </c>
      <c r="M475" s="1">
        <v>80.0763717165283</v>
      </c>
      <c r="N475" s="1" t="s">
        <v>31</v>
      </c>
    </row>
    <row r="476" ht="15.75" customHeight="1">
      <c r="A476" s="1">
        <v>34.0</v>
      </c>
      <c r="B476" s="1">
        <v>505.0</v>
      </c>
      <c r="C476" s="1" t="s">
        <v>55</v>
      </c>
      <c r="D476" s="1" t="s">
        <v>300</v>
      </c>
      <c r="E476" s="1" t="s">
        <v>57</v>
      </c>
      <c r="F476" s="1" t="s">
        <v>1781</v>
      </c>
      <c r="G476" s="1" t="s">
        <v>1782</v>
      </c>
      <c r="H476" s="1">
        <v>6.25341266804297</v>
      </c>
      <c r="I476" s="1" t="s">
        <v>33</v>
      </c>
      <c r="J476" s="1" t="s">
        <v>33</v>
      </c>
      <c r="K476" s="1" t="s">
        <v>33</v>
      </c>
      <c r="L476" s="1">
        <v>75.4348148734787</v>
      </c>
      <c r="M476" s="1">
        <v>86.211900401788</v>
      </c>
      <c r="N476" s="1" t="s">
        <v>31</v>
      </c>
    </row>
    <row r="477" ht="15.75" customHeight="1">
      <c r="A477" s="1">
        <v>34.0</v>
      </c>
      <c r="B477" s="1">
        <v>506.0</v>
      </c>
      <c r="C477" s="1" t="s">
        <v>55</v>
      </c>
      <c r="D477" s="1" t="s">
        <v>300</v>
      </c>
      <c r="E477" s="1" t="s">
        <v>78</v>
      </c>
      <c r="F477" s="1" t="s">
        <v>1785</v>
      </c>
      <c r="G477" s="1" t="s">
        <v>1786</v>
      </c>
      <c r="H477" s="1">
        <v>6.66231378756902</v>
      </c>
      <c r="I477" s="1" t="s">
        <v>33</v>
      </c>
      <c r="J477" s="1" t="s">
        <v>33</v>
      </c>
      <c r="K477" s="1" t="s">
        <v>33</v>
      </c>
      <c r="L477" s="1">
        <v>73.878310123741</v>
      </c>
      <c r="M477" s="1">
        <v>80.9592977614245</v>
      </c>
      <c r="N477" s="1" t="s">
        <v>31</v>
      </c>
    </row>
    <row r="478" ht="15.75" customHeight="1">
      <c r="A478" s="1">
        <v>34.0</v>
      </c>
      <c r="B478" s="1">
        <v>507.0</v>
      </c>
      <c r="C478" s="1" t="s">
        <v>55</v>
      </c>
      <c r="D478" s="1" t="s">
        <v>300</v>
      </c>
      <c r="E478" s="1" t="s">
        <v>57</v>
      </c>
      <c r="F478" s="1" t="s">
        <v>1788</v>
      </c>
      <c r="G478" s="1" t="s">
        <v>1790</v>
      </c>
      <c r="H478" s="1">
        <v>5.00798572317069</v>
      </c>
      <c r="I478" s="1" t="s">
        <v>33</v>
      </c>
      <c r="J478" s="1" t="s">
        <v>33</v>
      </c>
      <c r="K478" s="1" t="s">
        <v>33</v>
      </c>
      <c r="L478" s="1">
        <v>79.1169847827306</v>
      </c>
      <c r="M478" s="1">
        <v>86.4995138874177</v>
      </c>
      <c r="N478" s="1" t="s">
        <v>31</v>
      </c>
    </row>
    <row r="479" ht="15.75" customHeight="1">
      <c r="A479" s="1">
        <v>34.0</v>
      </c>
      <c r="B479" s="1">
        <v>508.0</v>
      </c>
      <c r="C479" s="1" t="s">
        <v>55</v>
      </c>
      <c r="D479" s="1" t="s">
        <v>300</v>
      </c>
      <c r="E479" s="1" t="s">
        <v>78</v>
      </c>
      <c r="F479" s="1" t="s">
        <v>1791</v>
      </c>
      <c r="G479" s="1" t="s">
        <v>1792</v>
      </c>
      <c r="H479" s="1">
        <v>7.60593485381593</v>
      </c>
      <c r="I479" s="1" t="s">
        <v>33</v>
      </c>
      <c r="J479" s="1" t="s">
        <v>33</v>
      </c>
      <c r="K479" s="1" t="s">
        <v>33</v>
      </c>
      <c r="L479" s="1">
        <v>87.248209832466</v>
      </c>
      <c r="M479" s="1">
        <v>98.4754222527842</v>
      </c>
      <c r="N479" s="1" t="s">
        <v>31</v>
      </c>
    </row>
    <row r="480" ht="15.75" customHeight="1">
      <c r="A480" s="1">
        <v>34.0</v>
      </c>
      <c r="B480" s="1">
        <v>509.0</v>
      </c>
      <c r="C480" s="1" t="s">
        <v>55</v>
      </c>
      <c r="D480" s="1" t="s">
        <v>300</v>
      </c>
      <c r="E480" s="1" t="s">
        <v>57</v>
      </c>
      <c r="F480" s="1" t="s">
        <v>1795</v>
      </c>
      <c r="G480" s="1" t="s">
        <v>1796</v>
      </c>
      <c r="H480" s="1">
        <v>9.05788435531673</v>
      </c>
      <c r="I480" s="1" t="s">
        <v>33</v>
      </c>
      <c r="J480" s="1" t="s">
        <v>33</v>
      </c>
      <c r="K480" s="1" t="s">
        <v>33</v>
      </c>
      <c r="L480" s="1">
        <v>89.445584256547</v>
      </c>
      <c r="M480" s="1">
        <v>96.5512453430261</v>
      </c>
      <c r="N480" s="1" t="s">
        <v>31</v>
      </c>
    </row>
    <row r="481" ht="15.75" customHeight="1">
      <c r="A481" s="1">
        <v>34.0</v>
      </c>
      <c r="B481" s="1">
        <v>510.0</v>
      </c>
      <c r="C481" s="1" t="s">
        <v>55</v>
      </c>
      <c r="D481" s="1" t="s">
        <v>300</v>
      </c>
      <c r="E481" s="1" t="s">
        <v>57</v>
      </c>
      <c r="F481" s="1" t="s">
        <v>1798</v>
      </c>
      <c r="G481" s="1" t="s">
        <v>1799</v>
      </c>
      <c r="H481" s="1">
        <v>5.00798572317069</v>
      </c>
      <c r="I481" s="1" t="s">
        <v>33</v>
      </c>
      <c r="J481" s="1" t="s">
        <v>33</v>
      </c>
      <c r="K481" s="1" t="s">
        <v>33</v>
      </c>
      <c r="L481" s="1">
        <v>80.5178980383482</v>
      </c>
      <c r="M481" s="1">
        <v>87.6205766836503</v>
      </c>
      <c r="N481" s="1" t="s">
        <v>31</v>
      </c>
    </row>
    <row r="482" ht="15.75" customHeight="1">
      <c r="A482" s="1">
        <v>34.0</v>
      </c>
      <c r="B482" s="1">
        <v>511.0</v>
      </c>
      <c r="C482" s="1" t="s">
        <v>55</v>
      </c>
      <c r="D482" s="1" t="s">
        <v>300</v>
      </c>
      <c r="E482" s="1" t="s">
        <v>57</v>
      </c>
      <c r="F482" s="1" t="s">
        <v>1801</v>
      </c>
      <c r="G482" s="1" t="s">
        <v>1799</v>
      </c>
      <c r="H482" s="1">
        <v>7.94386587252917</v>
      </c>
      <c r="I482" s="1" t="s">
        <v>33</v>
      </c>
      <c r="J482" s="1" t="s">
        <v>33</v>
      </c>
      <c r="K482" s="1" t="s">
        <v>33</v>
      </c>
      <c r="L482" s="1">
        <v>87.4136747327145</v>
      </c>
      <c r="M482" s="1">
        <v>96.5397994308055</v>
      </c>
      <c r="N482" s="1" t="s">
        <v>31</v>
      </c>
    </row>
    <row r="483" ht="15.75" customHeight="1">
      <c r="A483" s="1">
        <v>34.0</v>
      </c>
      <c r="B483" s="1">
        <v>512.0</v>
      </c>
      <c r="C483" s="1" t="s">
        <v>55</v>
      </c>
      <c r="D483" s="1" t="s">
        <v>300</v>
      </c>
      <c r="E483" s="1" t="s">
        <v>78</v>
      </c>
      <c r="F483" s="1" t="s">
        <v>1802</v>
      </c>
      <c r="G483" s="1" t="s">
        <v>1803</v>
      </c>
      <c r="H483" s="1">
        <v>8.07641411768217</v>
      </c>
      <c r="I483" s="1" t="s">
        <v>33</v>
      </c>
      <c r="J483" s="1" t="s">
        <v>33</v>
      </c>
      <c r="K483" s="1" t="s">
        <v>33</v>
      </c>
      <c r="L483" s="1">
        <v>82.761374350043</v>
      </c>
      <c r="M483" s="1">
        <v>91.3871178739696</v>
      </c>
      <c r="N483" s="1" t="s">
        <v>31</v>
      </c>
    </row>
    <row r="484" ht="15.75" customHeight="1">
      <c r="A484" s="1">
        <v>34.0</v>
      </c>
      <c r="B484" s="1">
        <v>513.0</v>
      </c>
      <c r="C484" s="1" t="s">
        <v>55</v>
      </c>
      <c r="D484" s="1" t="s">
        <v>300</v>
      </c>
      <c r="E484" s="1" t="s">
        <v>78</v>
      </c>
      <c r="F484" s="1" t="s">
        <v>1806</v>
      </c>
      <c r="G484" s="1" t="s">
        <v>1808</v>
      </c>
      <c r="H484" s="1">
        <v>7.60593485381593</v>
      </c>
      <c r="I484" s="1" t="s">
        <v>33</v>
      </c>
      <c r="J484" s="1" t="s">
        <v>33</v>
      </c>
      <c r="K484" s="1" t="s">
        <v>33</v>
      </c>
      <c r="L484" s="1">
        <v>92.8146260284135</v>
      </c>
      <c r="M484" s="1">
        <v>105.177575653486</v>
      </c>
      <c r="N484" s="1" t="s">
        <v>31</v>
      </c>
    </row>
    <row r="485" ht="15.75" customHeight="1">
      <c r="A485" s="1">
        <v>35.0</v>
      </c>
      <c r="B485" s="1">
        <v>569.0</v>
      </c>
      <c r="C485" s="1" t="s">
        <v>55</v>
      </c>
      <c r="D485" s="1" t="s">
        <v>314</v>
      </c>
      <c r="E485" s="1" t="s">
        <v>57</v>
      </c>
      <c r="F485" s="1" t="s">
        <v>1809</v>
      </c>
      <c r="G485" s="1" t="s">
        <v>1810</v>
      </c>
      <c r="H485" s="1">
        <v>5.84340236493603</v>
      </c>
      <c r="I485" s="1">
        <v>1.32819199735786</v>
      </c>
      <c r="J485" s="1" t="s">
        <v>33</v>
      </c>
      <c r="K485" s="1">
        <v>79.7625382786749</v>
      </c>
      <c r="L485" s="1">
        <v>21.4789784396453</v>
      </c>
      <c r="M485" s="1">
        <v>24.2901484526642</v>
      </c>
      <c r="N485" s="1" t="s">
        <v>31</v>
      </c>
    </row>
    <row r="486" ht="15.75" customHeight="1">
      <c r="A486" s="1">
        <v>35.0</v>
      </c>
      <c r="B486" s="1">
        <v>568.0</v>
      </c>
      <c r="C486" s="1" t="s">
        <v>74</v>
      </c>
      <c r="D486" s="1" t="s">
        <v>314</v>
      </c>
      <c r="E486" s="1" t="s">
        <v>57</v>
      </c>
      <c r="F486" s="1" t="s">
        <v>1813</v>
      </c>
      <c r="G486" s="1" t="s">
        <v>1814</v>
      </c>
      <c r="H486" s="1">
        <v>1.32819199735786</v>
      </c>
      <c r="I486" s="1">
        <v>43.0389210923978</v>
      </c>
      <c r="J486" s="1" t="s">
        <v>33</v>
      </c>
      <c r="K486" s="1">
        <v>79.021996504864</v>
      </c>
      <c r="L486" s="1">
        <v>22.4671620816435</v>
      </c>
      <c r="M486" s="1">
        <v>25.5804375794949</v>
      </c>
      <c r="N486" s="1" t="s">
        <v>31</v>
      </c>
    </row>
    <row r="487" ht="15.75" customHeight="1">
      <c r="A487" s="1">
        <v>35.0</v>
      </c>
      <c r="B487" s="1">
        <v>567.0</v>
      </c>
      <c r="C487" s="1" t="s">
        <v>55</v>
      </c>
      <c r="D487" s="1" t="s">
        <v>314</v>
      </c>
      <c r="E487" s="1" t="s">
        <v>57</v>
      </c>
      <c r="F487" s="1" t="s">
        <v>1816</v>
      </c>
      <c r="G487" s="1" t="s">
        <v>1817</v>
      </c>
      <c r="H487" s="1">
        <v>5.84340236493603</v>
      </c>
      <c r="I487" s="1">
        <v>5.94273340055325</v>
      </c>
      <c r="J487" s="1" t="s">
        <v>33</v>
      </c>
      <c r="K487" s="1">
        <v>74.8764826215224</v>
      </c>
      <c r="L487" s="1">
        <v>17.7436240277965</v>
      </c>
      <c r="M487" s="1">
        <v>23.7830996456653</v>
      </c>
      <c r="N487" s="1" t="s">
        <v>31</v>
      </c>
    </row>
    <row r="488" ht="15.75" customHeight="1">
      <c r="A488" s="1">
        <v>35.0</v>
      </c>
      <c r="B488" s="1">
        <v>566.0</v>
      </c>
      <c r="C488" s="1" t="s">
        <v>55</v>
      </c>
      <c r="D488" s="1" t="s">
        <v>314</v>
      </c>
      <c r="E488" s="1" t="s">
        <v>57</v>
      </c>
      <c r="F488" s="1" t="s">
        <v>1819</v>
      </c>
      <c r="G488" s="1" t="s">
        <v>1820</v>
      </c>
      <c r="H488" s="1">
        <v>9.84861846235929</v>
      </c>
      <c r="I488" s="1">
        <v>14.5508987315456</v>
      </c>
      <c r="J488" s="1" t="s">
        <v>33</v>
      </c>
      <c r="K488" s="1">
        <v>65.9124096237525</v>
      </c>
      <c r="L488" s="1">
        <v>26.2178465446506</v>
      </c>
      <c r="M488" s="1">
        <v>37.121919584971</v>
      </c>
      <c r="N488" s="1" t="s">
        <v>31</v>
      </c>
    </row>
    <row r="489" ht="15.75" customHeight="1">
      <c r="A489" s="1">
        <v>35.0</v>
      </c>
      <c r="B489" s="1">
        <v>565.0</v>
      </c>
      <c r="C489" s="1" t="s">
        <v>55</v>
      </c>
      <c r="D489" s="1" t="s">
        <v>314</v>
      </c>
      <c r="E489" s="1" t="s">
        <v>57</v>
      </c>
      <c r="F489" s="1" t="s">
        <v>1821</v>
      </c>
      <c r="G489" s="1" t="s">
        <v>1822</v>
      </c>
      <c r="H489" s="1">
        <v>5.1378709790395</v>
      </c>
      <c r="I489" s="1">
        <v>24.6831948037777</v>
      </c>
      <c r="J489" s="1" t="s">
        <v>33</v>
      </c>
      <c r="K489" s="1">
        <v>54.4207832464589</v>
      </c>
      <c r="L489" s="1">
        <v>20.3490755648181</v>
      </c>
      <c r="M489" s="1">
        <v>40.2118585102587</v>
      </c>
      <c r="N489" s="1" t="s">
        <v>31</v>
      </c>
    </row>
    <row r="490" ht="15.75" customHeight="1">
      <c r="A490" s="1">
        <v>35.0</v>
      </c>
      <c r="B490" s="1">
        <v>564.0</v>
      </c>
      <c r="C490" s="1" t="s">
        <v>55</v>
      </c>
      <c r="D490" s="1" t="s">
        <v>314</v>
      </c>
      <c r="E490" s="1" t="s">
        <v>57</v>
      </c>
      <c r="F490" s="1" t="s">
        <v>1825</v>
      </c>
      <c r="G490" s="1" t="s">
        <v>1826</v>
      </c>
      <c r="H490" s="1">
        <v>1.46674436661352</v>
      </c>
      <c r="I490" s="1">
        <v>19.5929664710283</v>
      </c>
      <c r="J490" s="1" t="s">
        <v>33</v>
      </c>
      <c r="K490" s="1">
        <v>59.5574066455404</v>
      </c>
      <c r="L490" s="1">
        <v>18.5958828829579</v>
      </c>
      <c r="M490" s="1">
        <v>35.8895388619485</v>
      </c>
      <c r="N490" s="1" t="s">
        <v>31</v>
      </c>
    </row>
    <row r="491" ht="15.75" customHeight="1">
      <c r="A491" s="1">
        <v>35.0</v>
      </c>
      <c r="B491" s="1">
        <v>563.0</v>
      </c>
      <c r="C491" s="1" t="s">
        <v>55</v>
      </c>
      <c r="D491" s="1" t="s">
        <v>314</v>
      </c>
      <c r="E491" s="1" t="s">
        <v>57</v>
      </c>
      <c r="F491" s="1" t="s">
        <v>1828</v>
      </c>
      <c r="G491" s="1" t="s">
        <v>1829</v>
      </c>
      <c r="H491" s="1">
        <v>1.46674436661352</v>
      </c>
      <c r="I491" s="1">
        <v>19.4436966353113</v>
      </c>
      <c r="J491" s="1" t="s">
        <v>33</v>
      </c>
      <c r="K491" s="1">
        <v>59.9670826809279</v>
      </c>
      <c r="L491" s="1">
        <v>17.133192238782</v>
      </c>
      <c r="M491" s="1">
        <v>34.751509110664</v>
      </c>
      <c r="N491" s="1" t="s">
        <v>31</v>
      </c>
    </row>
    <row r="492" ht="15.75" customHeight="1">
      <c r="A492" s="1">
        <v>35.0</v>
      </c>
      <c r="B492" s="1">
        <v>562.0</v>
      </c>
      <c r="C492" s="1" t="s">
        <v>74</v>
      </c>
      <c r="D492" s="1" t="s">
        <v>314</v>
      </c>
      <c r="E492" s="1" t="s">
        <v>57</v>
      </c>
      <c r="F492" s="1" t="s">
        <v>1830</v>
      </c>
      <c r="G492" s="1" t="s">
        <v>1832</v>
      </c>
      <c r="H492" s="1">
        <v>5.00308961944246</v>
      </c>
      <c r="I492" s="1">
        <v>43.0389210923978</v>
      </c>
      <c r="J492" s="1" t="s">
        <v>33</v>
      </c>
      <c r="K492" s="1">
        <v>75.2913568404939</v>
      </c>
      <c r="L492" s="1">
        <v>17.1034763328405</v>
      </c>
      <c r="M492" s="1">
        <v>27.4428775137644</v>
      </c>
      <c r="N492" s="1" t="s">
        <v>31</v>
      </c>
    </row>
    <row r="493" ht="15.75" customHeight="1">
      <c r="A493" s="1">
        <v>35.0</v>
      </c>
      <c r="B493" s="1">
        <v>561.0</v>
      </c>
      <c r="C493" s="1" t="s">
        <v>55</v>
      </c>
      <c r="D493" s="1" t="s">
        <v>314</v>
      </c>
      <c r="E493" s="1" t="s">
        <v>57</v>
      </c>
      <c r="F493" s="1" t="s">
        <v>1834</v>
      </c>
      <c r="G493" s="1" t="s">
        <v>1835</v>
      </c>
      <c r="H493" s="1">
        <v>12.923716426879</v>
      </c>
      <c r="I493" s="1">
        <v>5.00308961944246</v>
      </c>
      <c r="J493" s="1" t="s">
        <v>33</v>
      </c>
      <c r="K493" s="1">
        <v>79.6895329508592</v>
      </c>
      <c r="L493" s="1">
        <v>19.0738379624845</v>
      </c>
      <c r="M493" s="1">
        <v>22.66841442844</v>
      </c>
      <c r="N493" s="1" t="s">
        <v>31</v>
      </c>
    </row>
    <row r="494" ht="15.75" customHeight="1">
      <c r="A494" s="1">
        <v>35.0</v>
      </c>
      <c r="B494" s="1">
        <v>560.0</v>
      </c>
      <c r="C494" s="1" t="s">
        <v>55</v>
      </c>
      <c r="D494" s="1" t="s">
        <v>314</v>
      </c>
      <c r="E494" s="1" t="s">
        <v>57</v>
      </c>
      <c r="F494" s="1" t="s">
        <v>1838</v>
      </c>
      <c r="G494" s="1" t="s">
        <v>1839</v>
      </c>
      <c r="H494" s="1">
        <v>3.32101414346108</v>
      </c>
      <c r="I494" s="1">
        <v>9.83334288862972</v>
      </c>
      <c r="J494" s="1" t="s">
        <v>33</v>
      </c>
      <c r="K494" s="1">
        <v>76.2620212741019</v>
      </c>
      <c r="L494" s="1">
        <v>21.3693951796769</v>
      </c>
      <c r="M494" s="1">
        <v>33.339359164238</v>
      </c>
      <c r="N494" s="1" t="s">
        <v>31</v>
      </c>
    </row>
    <row r="495" ht="15.75" customHeight="1">
      <c r="A495" s="1">
        <v>35.0</v>
      </c>
      <c r="B495" s="1">
        <v>559.0</v>
      </c>
      <c r="C495" s="1" t="s">
        <v>55</v>
      </c>
      <c r="D495" s="1" t="s">
        <v>314</v>
      </c>
      <c r="E495" s="1" t="s">
        <v>57</v>
      </c>
      <c r="F495" s="1" t="s">
        <v>1840</v>
      </c>
      <c r="G495" s="1" t="s">
        <v>1841</v>
      </c>
      <c r="H495" s="1">
        <v>3.32101414346108</v>
      </c>
      <c r="I495" s="1">
        <v>13.1370927030044</v>
      </c>
      <c r="J495" s="1" t="s">
        <v>33</v>
      </c>
      <c r="K495" s="1">
        <v>77.24968167807</v>
      </c>
      <c r="L495" s="1">
        <v>23.15226715494</v>
      </c>
      <c r="M495" s="1">
        <v>33.1992204347625</v>
      </c>
      <c r="N495" s="1" t="s">
        <v>31</v>
      </c>
    </row>
    <row r="496" ht="15.75" customHeight="1">
      <c r="A496" s="1">
        <v>35.0</v>
      </c>
      <c r="B496" s="1">
        <v>558.0</v>
      </c>
      <c r="C496" s="1" t="s">
        <v>55</v>
      </c>
      <c r="D496" s="1" t="s">
        <v>314</v>
      </c>
      <c r="E496" s="1" t="s">
        <v>57</v>
      </c>
      <c r="F496" s="1" t="s">
        <v>1844</v>
      </c>
      <c r="G496" s="1" t="s">
        <v>1845</v>
      </c>
      <c r="H496" s="1">
        <v>5.78120634979421</v>
      </c>
      <c r="I496" s="1">
        <v>18.3966721513597</v>
      </c>
      <c r="J496" s="1" t="s">
        <v>33</v>
      </c>
      <c r="K496" s="1">
        <v>81.2850454499289</v>
      </c>
      <c r="L496" s="1">
        <v>26.4162526403128</v>
      </c>
      <c r="M496" s="1">
        <v>30.6025699507445</v>
      </c>
      <c r="N496" s="1" t="s">
        <v>31</v>
      </c>
    </row>
    <row r="497" ht="15.75" customHeight="1">
      <c r="A497" s="1">
        <v>35.0</v>
      </c>
      <c r="B497" s="1">
        <v>557.0</v>
      </c>
      <c r="C497" s="1" t="s">
        <v>55</v>
      </c>
      <c r="D497" s="1" t="s">
        <v>314</v>
      </c>
      <c r="E497" s="1" t="s">
        <v>57</v>
      </c>
      <c r="F497" s="1" t="s">
        <v>1847</v>
      </c>
      <c r="G497" s="1" t="s">
        <v>1848</v>
      </c>
      <c r="H497" s="1">
        <v>5.34666183854133</v>
      </c>
      <c r="I497" s="1">
        <v>16.3947934386803</v>
      </c>
      <c r="J497" s="1" t="s">
        <v>33</v>
      </c>
      <c r="K497" s="1">
        <v>73.3768339369797</v>
      </c>
      <c r="L497" s="1">
        <v>18.7886957646577</v>
      </c>
      <c r="M497" s="1">
        <v>37.999110496603</v>
      </c>
      <c r="N497" s="1" t="s">
        <v>31</v>
      </c>
    </row>
    <row r="498" ht="15.75" customHeight="1">
      <c r="A498" s="1">
        <v>35.0</v>
      </c>
      <c r="B498" s="1">
        <v>556.0</v>
      </c>
      <c r="C498" s="1" t="s">
        <v>55</v>
      </c>
      <c r="D498" s="1" t="s">
        <v>314</v>
      </c>
      <c r="E498" s="1" t="s">
        <v>57</v>
      </c>
      <c r="F498" s="1" t="s">
        <v>1849</v>
      </c>
      <c r="G498" s="1" t="s">
        <v>1850</v>
      </c>
      <c r="H498" s="1">
        <v>1.678324762864</v>
      </c>
      <c r="I498" s="1">
        <v>74.3517950932689</v>
      </c>
      <c r="J498" s="1" t="s">
        <v>33</v>
      </c>
      <c r="K498" s="1">
        <v>1.06583598617075</v>
      </c>
      <c r="L498" s="1">
        <v>52.4385051363828</v>
      </c>
      <c r="M498" s="1">
        <v>90.2974521693252</v>
      </c>
      <c r="N498" s="1" t="s">
        <v>31</v>
      </c>
    </row>
    <row r="499" ht="15.75" customHeight="1">
      <c r="A499" s="1">
        <v>35.0</v>
      </c>
      <c r="B499" s="1">
        <v>555.0</v>
      </c>
      <c r="C499" s="1" t="s">
        <v>55</v>
      </c>
      <c r="D499" s="1" t="s">
        <v>314</v>
      </c>
      <c r="E499" s="1" t="s">
        <v>57</v>
      </c>
      <c r="F499" s="1" t="s">
        <v>1853</v>
      </c>
      <c r="G499" s="1" t="s">
        <v>1854</v>
      </c>
      <c r="H499" s="1">
        <v>1.678324762864</v>
      </c>
      <c r="I499" s="1">
        <v>73.5931458746929</v>
      </c>
      <c r="J499" s="1" t="s">
        <v>33</v>
      </c>
      <c r="K499" s="1">
        <v>1.97375296581224</v>
      </c>
      <c r="L499" s="1">
        <v>51.9468210392947</v>
      </c>
      <c r="M499" s="1">
        <v>89.1286451183363</v>
      </c>
      <c r="N499" s="1" t="s">
        <v>31</v>
      </c>
    </row>
    <row r="500" ht="15.75" customHeight="1">
      <c r="A500" s="1">
        <v>35.0</v>
      </c>
      <c r="B500" s="1">
        <v>554.0</v>
      </c>
      <c r="C500" s="1" t="s">
        <v>179</v>
      </c>
      <c r="D500" s="1" t="s">
        <v>314</v>
      </c>
      <c r="E500" s="1" t="s">
        <v>57</v>
      </c>
      <c r="F500" s="1" t="s">
        <v>1856</v>
      </c>
      <c r="G500" s="1" t="s">
        <v>1857</v>
      </c>
      <c r="H500" s="1">
        <v>1.06583598617075</v>
      </c>
      <c r="I500" s="1">
        <v>75.2913568404939</v>
      </c>
      <c r="J500" s="1" t="s">
        <v>33</v>
      </c>
      <c r="K500" s="1" t="s">
        <v>33</v>
      </c>
      <c r="L500" s="1">
        <v>53.4484153771936</v>
      </c>
      <c r="M500" s="1">
        <v>91.0485028654747</v>
      </c>
      <c r="N500" s="1" t="s">
        <v>31</v>
      </c>
    </row>
    <row r="501" ht="15.75" customHeight="1">
      <c r="A501" s="1">
        <v>35.0</v>
      </c>
      <c r="B501" s="1">
        <v>553.0</v>
      </c>
      <c r="C501" s="1" t="s">
        <v>55</v>
      </c>
      <c r="D501" s="1" t="s">
        <v>314</v>
      </c>
      <c r="E501" s="1" t="s">
        <v>57</v>
      </c>
      <c r="F501" s="1" t="s">
        <v>1858</v>
      </c>
      <c r="G501" s="1" t="s">
        <v>1859</v>
      </c>
      <c r="H501" s="1">
        <v>13.1194124512451</v>
      </c>
      <c r="I501" s="1">
        <v>15.4159553900336</v>
      </c>
      <c r="J501" s="1" t="s">
        <v>33</v>
      </c>
      <c r="K501" s="1">
        <v>109.630428480865</v>
      </c>
      <c r="L501" s="1">
        <v>4.55165792166849</v>
      </c>
      <c r="M501" s="1">
        <v>97.1098973595168</v>
      </c>
      <c r="N501" s="1" t="s">
        <v>31</v>
      </c>
    </row>
    <row r="502" ht="15.75" customHeight="1">
      <c r="A502" s="1">
        <v>35.0</v>
      </c>
      <c r="B502" s="1">
        <v>552.0</v>
      </c>
      <c r="C502" s="1" t="s">
        <v>55</v>
      </c>
      <c r="D502" s="1" t="s">
        <v>314</v>
      </c>
      <c r="E502" s="1" t="s">
        <v>57</v>
      </c>
      <c r="F502" s="1" t="s">
        <v>1862</v>
      </c>
      <c r="G502" s="1" t="s">
        <v>1863</v>
      </c>
      <c r="H502" s="1">
        <v>7.11319484719901</v>
      </c>
      <c r="I502" s="1">
        <v>4.91991429720275</v>
      </c>
      <c r="J502" s="1" t="s">
        <v>33</v>
      </c>
      <c r="K502" s="1">
        <v>120.2687386111</v>
      </c>
      <c r="L502" s="1">
        <v>17.2769170136447</v>
      </c>
      <c r="M502" s="1">
        <v>88.9335803009128</v>
      </c>
      <c r="N502" s="1" t="s">
        <v>31</v>
      </c>
    </row>
    <row r="503" ht="15.75" customHeight="1">
      <c r="A503" s="1">
        <v>35.0</v>
      </c>
      <c r="B503" s="1">
        <v>551.0</v>
      </c>
      <c r="C503" s="1" t="s">
        <v>55</v>
      </c>
      <c r="D503" s="1" t="s">
        <v>314</v>
      </c>
      <c r="E503" s="1" t="s">
        <v>57</v>
      </c>
      <c r="F503" s="1" t="s">
        <v>1865</v>
      </c>
      <c r="G503" s="1" t="s">
        <v>1866</v>
      </c>
      <c r="H503" s="1">
        <v>7.11319484719901</v>
      </c>
      <c r="I503" s="1">
        <v>2.62277677587461</v>
      </c>
      <c r="J503" s="1" t="s">
        <v>33</v>
      </c>
      <c r="K503" s="1">
        <v>124.835334891462</v>
      </c>
      <c r="L503" s="1">
        <v>19.6744428116183</v>
      </c>
      <c r="M503" s="1">
        <v>94.1138691322257</v>
      </c>
      <c r="N503" s="1" t="s">
        <v>31</v>
      </c>
    </row>
    <row r="504" ht="15.75" customHeight="1">
      <c r="A504" s="1">
        <v>35.0</v>
      </c>
      <c r="B504" s="1">
        <v>550.0</v>
      </c>
      <c r="C504" s="1" t="s">
        <v>74</v>
      </c>
      <c r="D504" s="1" t="s">
        <v>314</v>
      </c>
      <c r="E504" s="1" t="s">
        <v>57</v>
      </c>
      <c r="F504" s="1" t="s">
        <v>1867</v>
      </c>
      <c r="G504" s="1" t="s">
        <v>1868</v>
      </c>
      <c r="H504" s="1">
        <v>2.62277677587461</v>
      </c>
      <c r="I504" s="1">
        <v>83.5943866039198</v>
      </c>
      <c r="J504" s="1" t="s">
        <v>33</v>
      </c>
      <c r="K504" s="1">
        <v>124.214014829293</v>
      </c>
      <c r="L504" s="1">
        <v>19.9385534082738</v>
      </c>
      <c r="M504" s="1">
        <v>91.5970803538213</v>
      </c>
      <c r="N504" s="1" t="s">
        <v>31</v>
      </c>
    </row>
    <row r="505" ht="15.75" customHeight="1">
      <c r="A505" s="1">
        <v>36.0</v>
      </c>
      <c r="B505" s="1">
        <v>157.0</v>
      </c>
      <c r="C505" s="1" t="s">
        <v>74</v>
      </c>
      <c r="D505" s="1" t="s">
        <v>329</v>
      </c>
      <c r="E505" s="1" t="s">
        <v>98</v>
      </c>
      <c r="F505" s="1" t="s">
        <v>1870</v>
      </c>
      <c r="G505" s="1" t="s">
        <v>1871</v>
      </c>
      <c r="H505" s="1">
        <v>3.57283192992734</v>
      </c>
      <c r="I505" s="1">
        <v>3.57283192992734</v>
      </c>
      <c r="J505" s="1">
        <v>21.7497171709483</v>
      </c>
      <c r="K505" s="1" t="s">
        <v>33</v>
      </c>
      <c r="L505" s="1">
        <v>10.8590342077611</v>
      </c>
      <c r="M505" s="1">
        <v>23.3800224691816</v>
      </c>
      <c r="N505" s="1" t="s">
        <v>31</v>
      </c>
    </row>
    <row r="506" ht="15.75" customHeight="1">
      <c r="A506" s="1">
        <v>36.0</v>
      </c>
      <c r="B506" s="1">
        <v>158.0</v>
      </c>
      <c r="C506" s="1" t="s">
        <v>74</v>
      </c>
      <c r="D506" s="1" t="s">
        <v>329</v>
      </c>
      <c r="E506" s="1" t="s">
        <v>57</v>
      </c>
      <c r="F506" s="1" t="s">
        <v>1873</v>
      </c>
      <c r="G506" s="1" t="s">
        <v>1875</v>
      </c>
      <c r="H506" s="1">
        <v>0.0</v>
      </c>
      <c r="I506" s="1">
        <v>3.57283192992734</v>
      </c>
      <c r="J506" s="1">
        <v>24.7265635503826</v>
      </c>
      <c r="K506" s="1" t="s">
        <v>33</v>
      </c>
      <c r="L506" s="1">
        <v>9.918355260138</v>
      </c>
      <c r="M506" s="1">
        <v>24.112076677961</v>
      </c>
      <c r="N506" s="1" t="s">
        <v>31</v>
      </c>
    </row>
    <row r="507" ht="15.75" customHeight="1">
      <c r="A507" s="1">
        <v>36.0</v>
      </c>
      <c r="B507" s="1">
        <v>159.0</v>
      </c>
      <c r="C507" s="1" t="s">
        <v>55</v>
      </c>
      <c r="D507" s="1" t="s">
        <v>329</v>
      </c>
      <c r="E507" s="1" t="s">
        <v>57</v>
      </c>
      <c r="F507" s="1" t="s">
        <v>1873</v>
      </c>
      <c r="G507" s="1" t="s">
        <v>1875</v>
      </c>
      <c r="H507" s="1">
        <v>7.76583414692206</v>
      </c>
      <c r="I507" s="1">
        <v>0.0</v>
      </c>
      <c r="J507" s="1">
        <v>24.7265635503826</v>
      </c>
      <c r="K507" s="1" t="s">
        <v>33</v>
      </c>
      <c r="L507" s="1">
        <v>9.918355260138</v>
      </c>
      <c r="M507" s="1">
        <v>24.112076677961</v>
      </c>
      <c r="N507" s="1" t="s">
        <v>31</v>
      </c>
    </row>
    <row r="508" ht="15.75" customHeight="1">
      <c r="A508" s="1">
        <v>36.0</v>
      </c>
      <c r="B508" s="1">
        <v>160.0</v>
      </c>
      <c r="C508" s="1" t="s">
        <v>74</v>
      </c>
      <c r="D508" s="1" t="s">
        <v>329</v>
      </c>
      <c r="E508" s="1" t="s">
        <v>98</v>
      </c>
      <c r="F508" s="1" t="s">
        <v>1879</v>
      </c>
      <c r="G508" s="1" t="s">
        <v>1880</v>
      </c>
      <c r="H508" s="1">
        <v>0.0</v>
      </c>
      <c r="I508" s="1">
        <v>7.78319934248227</v>
      </c>
      <c r="J508" s="1">
        <v>32.0649378766717</v>
      </c>
      <c r="K508" s="1" t="s">
        <v>33</v>
      </c>
      <c r="L508" s="1">
        <v>14.7336133033074</v>
      </c>
      <c r="M508" s="1">
        <v>31.2482307364541</v>
      </c>
      <c r="N508" s="1" t="s">
        <v>31</v>
      </c>
    </row>
    <row r="509" ht="15.75" customHeight="1">
      <c r="A509" s="1">
        <v>36.0</v>
      </c>
      <c r="B509" s="1">
        <v>161.0</v>
      </c>
      <c r="C509" s="1" t="s">
        <v>55</v>
      </c>
      <c r="D509" s="1" t="s">
        <v>329</v>
      </c>
      <c r="E509" s="1" t="s">
        <v>98</v>
      </c>
      <c r="F509" s="1" t="s">
        <v>1879</v>
      </c>
      <c r="G509" s="1" t="s">
        <v>1880</v>
      </c>
      <c r="H509" s="1">
        <v>7.78319934248227</v>
      </c>
      <c r="I509" s="1">
        <v>0.0</v>
      </c>
      <c r="J509" s="1">
        <v>32.0649378766717</v>
      </c>
      <c r="K509" s="1" t="s">
        <v>33</v>
      </c>
      <c r="L509" s="1">
        <v>14.7336133033074</v>
      </c>
      <c r="M509" s="1">
        <v>31.2482307364541</v>
      </c>
      <c r="N509" s="1" t="s">
        <v>31</v>
      </c>
    </row>
    <row r="510" ht="15.75" customHeight="1">
      <c r="A510" s="1">
        <v>36.0</v>
      </c>
      <c r="B510" s="1">
        <v>162.0</v>
      </c>
      <c r="C510" s="1" t="s">
        <v>74</v>
      </c>
      <c r="D510" s="1" t="s">
        <v>329</v>
      </c>
      <c r="E510" s="1" t="s">
        <v>98</v>
      </c>
      <c r="F510" s="1" t="s">
        <v>1870</v>
      </c>
      <c r="G510" s="1" t="s">
        <v>1871</v>
      </c>
      <c r="H510" s="1">
        <v>3.57283192992734</v>
      </c>
      <c r="I510" s="1">
        <v>3.57283192992734</v>
      </c>
      <c r="J510" s="1">
        <v>21.7497171709483</v>
      </c>
      <c r="K510" s="1" t="s">
        <v>33</v>
      </c>
      <c r="L510" s="1">
        <v>10.8590342077611</v>
      </c>
      <c r="M510" s="1">
        <v>23.3800224691816</v>
      </c>
      <c r="N510" s="1" t="s">
        <v>31</v>
      </c>
    </row>
    <row r="511" ht="15.75" customHeight="1">
      <c r="A511" s="1">
        <v>36.0</v>
      </c>
      <c r="B511" s="1">
        <v>163.0</v>
      </c>
      <c r="C511" s="1" t="s">
        <v>74</v>
      </c>
      <c r="D511" s="1" t="s">
        <v>329</v>
      </c>
      <c r="E511" s="1" t="s">
        <v>98</v>
      </c>
      <c r="F511" s="1" t="s">
        <v>1568</v>
      </c>
      <c r="G511" s="1" t="s">
        <v>1569</v>
      </c>
      <c r="H511" s="1">
        <v>0.0</v>
      </c>
      <c r="I511" s="1">
        <v>6.46324779015812</v>
      </c>
      <c r="J511" s="1">
        <v>25.0917725561491</v>
      </c>
      <c r="K511" s="1" t="s">
        <v>33</v>
      </c>
      <c r="L511" s="1">
        <v>17.2579795851663</v>
      </c>
      <c r="M511" s="1">
        <v>29.6273683613439</v>
      </c>
      <c r="N511" s="1" t="s">
        <v>31</v>
      </c>
    </row>
    <row r="512" ht="15.75" customHeight="1">
      <c r="A512" s="1">
        <v>36.0</v>
      </c>
      <c r="B512" s="1">
        <v>164.0</v>
      </c>
      <c r="C512" s="1" t="s">
        <v>55</v>
      </c>
      <c r="D512" s="1" t="s">
        <v>329</v>
      </c>
      <c r="E512" s="1" t="s">
        <v>98</v>
      </c>
      <c r="F512" s="1" t="s">
        <v>1568</v>
      </c>
      <c r="G512" s="1" t="s">
        <v>1569</v>
      </c>
      <c r="H512" s="1">
        <v>7.76583414692206</v>
      </c>
      <c r="I512" s="1">
        <v>0.0</v>
      </c>
      <c r="J512" s="1">
        <v>25.0917725561491</v>
      </c>
      <c r="K512" s="1" t="s">
        <v>33</v>
      </c>
      <c r="L512" s="1">
        <v>17.2579795851663</v>
      </c>
      <c r="M512" s="1">
        <v>29.6273683613439</v>
      </c>
      <c r="N512" s="1" t="s">
        <v>31</v>
      </c>
    </row>
    <row r="513" ht="15.75" customHeight="1">
      <c r="A513" s="1">
        <v>36.0</v>
      </c>
      <c r="B513" s="1">
        <v>165.0</v>
      </c>
      <c r="C513" s="1" t="s">
        <v>55</v>
      </c>
      <c r="D513" s="1" t="s">
        <v>329</v>
      </c>
      <c r="E513" s="1" t="s">
        <v>98</v>
      </c>
      <c r="F513" s="1" t="s">
        <v>1568</v>
      </c>
      <c r="G513" s="1" t="s">
        <v>1569</v>
      </c>
      <c r="H513" s="1">
        <v>7.76583414692206</v>
      </c>
      <c r="I513" s="1">
        <v>0.0</v>
      </c>
      <c r="J513" s="1">
        <v>25.0917725561491</v>
      </c>
      <c r="K513" s="1" t="s">
        <v>33</v>
      </c>
      <c r="L513" s="1">
        <v>17.2579795851663</v>
      </c>
      <c r="M513" s="1">
        <v>29.6273683613439</v>
      </c>
      <c r="N513" s="1" t="s">
        <v>31</v>
      </c>
    </row>
    <row r="514" ht="15.75" customHeight="1">
      <c r="A514" s="1">
        <v>36.0</v>
      </c>
      <c r="B514" s="1">
        <v>156.0</v>
      </c>
      <c r="C514" s="1" t="s">
        <v>74</v>
      </c>
      <c r="D514" s="1" t="s">
        <v>329</v>
      </c>
      <c r="E514" s="1" t="s">
        <v>98</v>
      </c>
      <c r="F514" s="1" t="s">
        <v>1890</v>
      </c>
      <c r="G514" s="1" t="s">
        <v>1891</v>
      </c>
      <c r="H514" s="1">
        <v>0.0</v>
      </c>
      <c r="I514" s="1">
        <v>8.69636452809558</v>
      </c>
      <c r="J514" s="1">
        <v>15.9186761382067</v>
      </c>
      <c r="K514" s="1" t="s">
        <v>33</v>
      </c>
      <c r="L514" s="1">
        <v>14.5222023739514</v>
      </c>
      <c r="M514" s="1">
        <v>23.6934596699954</v>
      </c>
      <c r="N514" s="1" t="s">
        <v>31</v>
      </c>
    </row>
    <row r="515" ht="15.75" customHeight="1">
      <c r="A515" s="1">
        <v>36.0</v>
      </c>
      <c r="B515" s="1">
        <v>167.0</v>
      </c>
      <c r="C515" s="1" t="s">
        <v>55</v>
      </c>
      <c r="D515" s="1" t="s">
        <v>329</v>
      </c>
      <c r="E515" s="1" t="s">
        <v>57</v>
      </c>
      <c r="F515" s="1" t="s">
        <v>1890</v>
      </c>
      <c r="G515" s="1" t="s">
        <v>1891</v>
      </c>
      <c r="H515" s="1">
        <v>9.21223534257962</v>
      </c>
      <c r="I515" s="1">
        <v>0.0</v>
      </c>
      <c r="J515" s="1">
        <v>15.9186761382067</v>
      </c>
      <c r="K515" s="1" t="s">
        <v>33</v>
      </c>
      <c r="L515" s="1">
        <v>14.5222023739514</v>
      </c>
      <c r="M515" s="1">
        <v>23.6934596699954</v>
      </c>
      <c r="N515" s="1" t="s">
        <v>31</v>
      </c>
    </row>
    <row r="516" ht="15.75" customHeight="1">
      <c r="A516" s="1">
        <v>36.0</v>
      </c>
      <c r="B516" s="1">
        <v>168.0</v>
      </c>
      <c r="C516" s="1" t="s">
        <v>89</v>
      </c>
      <c r="D516" s="1" t="s">
        <v>329</v>
      </c>
      <c r="E516" s="1" t="s">
        <v>98</v>
      </c>
      <c r="F516" s="1" t="s">
        <v>1893</v>
      </c>
      <c r="G516" s="1" t="s">
        <v>1895</v>
      </c>
      <c r="H516" s="1">
        <v>16.8718671462634</v>
      </c>
      <c r="I516" s="1">
        <v>16.8718671462634</v>
      </c>
      <c r="J516" s="1">
        <v>9.0437643158771</v>
      </c>
      <c r="K516" s="1" t="s">
        <v>33</v>
      </c>
      <c r="L516" s="1">
        <v>3.12607006534468</v>
      </c>
      <c r="M516" s="1">
        <v>9.47063654455115</v>
      </c>
      <c r="N516" s="1" t="s">
        <v>31</v>
      </c>
    </row>
    <row r="517" ht="15.75" customHeight="1">
      <c r="A517" s="1">
        <v>36.0</v>
      </c>
      <c r="B517" s="1">
        <v>169.0</v>
      </c>
      <c r="C517" s="1" t="s">
        <v>89</v>
      </c>
      <c r="D517" s="1" t="s">
        <v>329</v>
      </c>
      <c r="E517" s="1" t="s">
        <v>57</v>
      </c>
      <c r="F517" s="1" t="s">
        <v>1898</v>
      </c>
      <c r="G517" s="1" t="s">
        <v>1899</v>
      </c>
      <c r="H517" s="1">
        <v>15.9186761382067</v>
      </c>
      <c r="I517" s="1">
        <v>15.9186761382067</v>
      </c>
      <c r="J517" s="1">
        <v>9.0437643158771</v>
      </c>
      <c r="K517" s="1" t="s">
        <v>33</v>
      </c>
      <c r="L517" s="1">
        <v>11.583386504216</v>
      </c>
      <c r="M517" s="1">
        <v>17.7067037099828</v>
      </c>
      <c r="N517" s="1" t="s">
        <v>31</v>
      </c>
    </row>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5" width="9.14"/>
  </cols>
  <sheetData>
    <row r="1">
      <c r="A1" s="2" t="s">
        <v>65</v>
      </c>
      <c r="B1" s="2" t="s">
        <v>85</v>
      </c>
      <c r="C1" s="2" t="s">
        <v>86</v>
      </c>
      <c r="D1" s="2" t="s">
        <v>87</v>
      </c>
      <c r="E1" s="2" t="s">
        <v>90</v>
      </c>
      <c r="F1" s="2" t="s">
        <v>91</v>
      </c>
      <c r="G1" s="2" t="s">
        <v>94</v>
      </c>
      <c r="H1" s="2" t="s">
        <v>95</v>
      </c>
      <c r="I1" s="2" t="s">
        <v>96</v>
      </c>
      <c r="J1" s="2" t="s">
        <v>97</v>
      </c>
      <c r="K1" s="2" t="s">
        <v>4</v>
      </c>
      <c r="L1" s="2" t="s">
        <v>99</v>
      </c>
      <c r="M1" s="2" t="s">
        <v>101</v>
      </c>
      <c r="N1" s="2" t="s">
        <v>103</v>
      </c>
      <c r="O1" s="2" t="s">
        <v>104</v>
      </c>
      <c r="P1" s="2" t="s">
        <v>105</v>
      </c>
      <c r="Q1" s="2" t="s">
        <v>106</v>
      </c>
      <c r="R1" s="2" t="s">
        <v>107</v>
      </c>
      <c r="S1" s="2" t="s">
        <v>108</v>
      </c>
      <c r="T1" s="2" t="s">
        <v>110</v>
      </c>
      <c r="U1" s="2" t="s">
        <v>111</v>
      </c>
      <c r="V1" s="2" t="s">
        <v>113</v>
      </c>
      <c r="W1" s="2" t="s">
        <v>115</v>
      </c>
      <c r="X1" s="2" t="s">
        <v>116</v>
      </c>
      <c r="Y1" s="2" t="s">
        <v>117</v>
      </c>
      <c r="Z1" s="2" t="s">
        <v>118</v>
      </c>
      <c r="AA1" s="2" t="s">
        <v>119</v>
      </c>
      <c r="AB1" s="2" t="s">
        <v>120</v>
      </c>
      <c r="AC1" s="2" t="s">
        <v>121</v>
      </c>
      <c r="AD1" s="2" t="s">
        <v>122</v>
      </c>
      <c r="AE1" s="2" t="s">
        <v>123</v>
      </c>
      <c r="AF1" s="2" t="s">
        <v>124</v>
      </c>
      <c r="AG1" s="2" t="s">
        <v>126</v>
      </c>
      <c r="AH1" s="2" t="s">
        <v>127</v>
      </c>
      <c r="AI1" s="2" t="s">
        <v>43</v>
      </c>
      <c r="AJ1" s="2" t="s">
        <v>128</v>
      </c>
      <c r="AK1" s="2" t="s">
        <v>129</v>
      </c>
      <c r="AL1" s="2" t="s">
        <v>130</v>
      </c>
      <c r="AM1" s="2" t="s">
        <v>13</v>
      </c>
      <c r="AN1" s="2" t="s">
        <v>53</v>
      </c>
      <c r="AO1" s="2" t="s">
        <v>133</v>
      </c>
      <c r="AP1" s="2" t="s">
        <v>134</v>
      </c>
      <c r="AQ1" s="2" t="s">
        <v>136</v>
      </c>
      <c r="AR1" s="2" t="s">
        <v>137</v>
      </c>
      <c r="AS1" s="2"/>
    </row>
    <row r="2">
      <c r="A2" s="2">
        <v>1.0</v>
      </c>
      <c r="B2" s="2">
        <v>1621.022705</v>
      </c>
      <c r="C2" s="2">
        <v>4.0</v>
      </c>
      <c r="D2" s="2">
        <v>1533944.605</v>
      </c>
      <c r="E2" s="2">
        <v>5446351.856</v>
      </c>
      <c r="F2" s="2">
        <v>1621.022705</v>
      </c>
      <c r="G2" s="2" t="s">
        <v>138</v>
      </c>
      <c r="H2" s="2" t="s">
        <v>139</v>
      </c>
      <c r="I2" s="2">
        <v>45390.0</v>
      </c>
      <c r="J2" s="2">
        <v>1.0</v>
      </c>
      <c r="K2" s="2" t="s">
        <v>31</v>
      </c>
      <c r="L2" s="2" t="s">
        <v>34</v>
      </c>
      <c r="M2" s="2">
        <v>1.0</v>
      </c>
      <c r="N2" s="2">
        <v>0.0</v>
      </c>
      <c r="O2" s="2">
        <v>0.0</v>
      </c>
      <c r="P2" s="2">
        <v>0.0</v>
      </c>
      <c r="Q2" s="2">
        <v>0.0</v>
      </c>
      <c r="R2" s="2">
        <v>20.0</v>
      </c>
      <c r="S2" s="2">
        <v>40.0</v>
      </c>
      <c r="T2" s="2">
        <v>5.0</v>
      </c>
      <c r="U2" s="2">
        <v>20.0</v>
      </c>
      <c r="V2" s="2">
        <v>15.0</v>
      </c>
      <c r="W2" s="2">
        <v>100.0</v>
      </c>
      <c r="X2" s="2">
        <v>100.0</v>
      </c>
      <c r="Y2" s="2">
        <v>0.0</v>
      </c>
      <c r="Z2" s="2">
        <v>0.0</v>
      </c>
      <c r="AA2" s="2">
        <v>0.0</v>
      </c>
      <c r="AB2" s="2">
        <v>0.0</v>
      </c>
      <c r="AC2" s="2">
        <v>0.0</v>
      </c>
      <c r="AD2" s="2">
        <v>0.0</v>
      </c>
      <c r="AE2" s="2">
        <v>4.0</v>
      </c>
      <c r="AF2" s="2">
        <v>0.0</v>
      </c>
      <c r="AG2" s="2">
        <v>100.0</v>
      </c>
      <c r="AH2" s="2">
        <v>0.0</v>
      </c>
      <c r="AI2" s="2" t="s">
        <v>143</v>
      </c>
      <c r="AJ2" s="2" t="s">
        <v>144</v>
      </c>
      <c r="AK2" s="2">
        <v>5.16743757302745</v>
      </c>
      <c r="AL2" s="2">
        <v>39.3802337340498</v>
      </c>
      <c r="AM2" s="2" t="s">
        <v>55</v>
      </c>
      <c r="AN2" s="2">
        <v>2.006</v>
      </c>
      <c r="AO2" s="2" t="s">
        <v>31</v>
      </c>
      <c r="AP2" s="2">
        <v>0.997641509433962</v>
      </c>
      <c r="AQ2" s="2">
        <v>0.00235849056603774</v>
      </c>
      <c r="AR2" s="2">
        <v>0.00235849056603774</v>
      </c>
      <c r="AS2" s="2">
        <v>1.0</v>
      </c>
    </row>
    <row r="3">
      <c r="A3" s="2">
        <v>1.0</v>
      </c>
      <c r="B3" s="2">
        <v>1617.355103</v>
      </c>
      <c r="C3" s="2">
        <v>5.0</v>
      </c>
      <c r="D3" s="2">
        <v>1533947.497</v>
      </c>
      <c r="E3" s="2">
        <v>5446341.736</v>
      </c>
      <c r="F3" s="2">
        <v>1617.355103</v>
      </c>
      <c r="G3" s="2" t="s">
        <v>138</v>
      </c>
      <c r="H3" s="2" t="s">
        <v>147</v>
      </c>
      <c r="I3" s="2">
        <v>45390.0</v>
      </c>
      <c r="J3" s="2">
        <v>2.0</v>
      </c>
      <c r="K3" s="2" t="s">
        <v>31</v>
      </c>
      <c r="L3" s="2" t="s">
        <v>34</v>
      </c>
      <c r="M3" s="2">
        <v>3.0</v>
      </c>
      <c r="N3" s="2">
        <v>2.0</v>
      </c>
      <c r="O3" s="2">
        <v>90.0</v>
      </c>
      <c r="P3" s="2">
        <v>0.0</v>
      </c>
      <c r="Q3" s="2">
        <v>0.0</v>
      </c>
      <c r="R3" s="2">
        <v>0.0</v>
      </c>
      <c r="S3" s="2">
        <v>5.0</v>
      </c>
      <c r="T3" s="2">
        <v>3.0</v>
      </c>
      <c r="U3" s="2">
        <v>0.0</v>
      </c>
      <c r="V3" s="2">
        <v>0.0</v>
      </c>
      <c r="W3" s="2">
        <v>100.0</v>
      </c>
      <c r="X3" s="2">
        <v>60.0</v>
      </c>
      <c r="Y3" s="2">
        <v>0.0</v>
      </c>
      <c r="Z3" s="2">
        <v>0.0</v>
      </c>
      <c r="AA3" s="2">
        <v>40.0</v>
      </c>
      <c r="AB3" s="2">
        <v>0.0</v>
      </c>
      <c r="AC3" s="2">
        <v>0.0</v>
      </c>
      <c r="AD3" s="2">
        <v>0.0</v>
      </c>
      <c r="AE3" s="2">
        <v>5.0</v>
      </c>
      <c r="AF3" s="2">
        <v>5.0</v>
      </c>
      <c r="AG3" s="2">
        <v>8.0</v>
      </c>
      <c r="AH3" s="2">
        <v>40.0</v>
      </c>
      <c r="AI3" s="2" t="s">
        <v>150</v>
      </c>
      <c r="AJ3" s="2" t="s">
        <v>151</v>
      </c>
      <c r="AK3" s="2">
        <v>14.4002750510979</v>
      </c>
      <c r="AL3" s="2">
        <v>30.3622073136309</v>
      </c>
      <c r="AM3" s="2" t="s">
        <v>55</v>
      </c>
      <c r="AN3" s="2">
        <v>2.006</v>
      </c>
      <c r="AO3" s="2" t="s">
        <v>31</v>
      </c>
      <c r="AP3" s="2">
        <v>0.0819811320754717</v>
      </c>
      <c r="AQ3" s="2">
        <v>0.400471698113208</v>
      </c>
      <c r="AR3" s="2">
        <v>0.0222641509433962</v>
      </c>
      <c r="AS3" s="2">
        <v>3.0</v>
      </c>
    </row>
    <row r="4">
      <c r="A4" s="2">
        <v>1.0</v>
      </c>
      <c r="B4" s="2">
        <v>1616.918701</v>
      </c>
      <c r="C4" s="2">
        <v>6.0</v>
      </c>
      <c r="D4" s="2">
        <v>1533949.968</v>
      </c>
      <c r="E4" s="2">
        <v>5446331.396</v>
      </c>
      <c r="F4" s="2">
        <v>1616.918701</v>
      </c>
      <c r="G4" s="2" t="s">
        <v>138</v>
      </c>
      <c r="H4" s="2" t="s">
        <v>152</v>
      </c>
      <c r="I4" s="2">
        <v>45390.0</v>
      </c>
      <c r="J4" s="2">
        <v>3.0</v>
      </c>
      <c r="K4" s="2" t="s">
        <v>31</v>
      </c>
      <c r="L4" s="2" t="s">
        <v>34</v>
      </c>
      <c r="M4" s="2">
        <v>2.0</v>
      </c>
      <c r="N4" s="2">
        <v>5.0</v>
      </c>
      <c r="O4" s="2">
        <v>10.0</v>
      </c>
      <c r="P4" s="2">
        <v>0.0</v>
      </c>
      <c r="Q4" s="2">
        <v>0.0</v>
      </c>
      <c r="R4" s="2">
        <v>0.0</v>
      </c>
      <c r="S4" s="2">
        <v>50.0</v>
      </c>
      <c r="T4" s="2">
        <v>5.0</v>
      </c>
      <c r="U4" s="2">
        <v>10.0</v>
      </c>
      <c r="V4" s="2">
        <v>20.0</v>
      </c>
      <c r="W4" s="2">
        <v>100.0</v>
      </c>
      <c r="X4" s="2">
        <v>80.0</v>
      </c>
      <c r="Y4" s="2">
        <v>20.0</v>
      </c>
      <c r="Z4" s="2">
        <v>0.0</v>
      </c>
      <c r="AA4" s="2">
        <v>0.0</v>
      </c>
      <c r="AB4" s="2">
        <v>0.0</v>
      </c>
      <c r="AC4" s="2">
        <v>0.0</v>
      </c>
      <c r="AD4" s="2">
        <v>0.0</v>
      </c>
      <c r="AE4" s="2">
        <v>6.0</v>
      </c>
      <c r="AF4" s="2">
        <v>10.0</v>
      </c>
      <c r="AG4" s="2">
        <v>85.0</v>
      </c>
      <c r="AH4" s="2">
        <v>20.0</v>
      </c>
      <c r="AI4" s="2" t="s">
        <v>157</v>
      </c>
      <c r="AJ4" s="2" t="s">
        <v>158</v>
      </c>
      <c r="AK4" s="2">
        <v>22.7487246762369</v>
      </c>
      <c r="AL4" s="2">
        <v>22.2590599078528</v>
      </c>
      <c r="AM4" s="2" t="s">
        <v>55</v>
      </c>
      <c r="AN4" s="2">
        <v>2.006</v>
      </c>
      <c r="AO4" s="2" t="s">
        <v>31</v>
      </c>
      <c r="AP4" s="2">
        <v>0.848349056603774</v>
      </c>
      <c r="AQ4" s="2">
        <v>0.201415094339623</v>
      </c>
      <c r="AR4" s="2">
        <v>0.052122641509434</v>
      </c>
      <c r="AS4" s="2">
        <v>2.0</v>
      </c>
    </row>
    <row r="5">
      <c r="A5" s="2">
        <v>1.0</v>
      </c>
      <c r="B5" s="2">
        <v>1612.019165</v>
      </c>
      <c r="C5" s="2">
        <v>7.0</v>
      </c>
      <c r="D5" s="2">
        <v>1533954.376</v>
      </c>
      <c r="E5" s="2">
        <v>5446322.38</v>
      </c>
      <c r="F5" s="2">
        <v>1612.019165</v>
      </c>
      <c r="G5" s="2" t="s">
        <v>138</v>
      </c>
      <c r="H5" s="2" t="s">
        <v>160</v>
      </c>
      <c r="I5" s="2">
        <v>45390.0</v>
      </c>
      <c r="J5" s="2">
        <v>4.0</v>
      </c>
      <c r="K5" s="2" t="s">
        <v>31</v>
      </c>
      <c r="L5" s="2" t="s">
        <v>34</v>
      </c>
      <c r="M5" s="2">
        <v>1.0</v>
      </c>
      <c r="N5" s="2">
        <v>5.0</v>
      </c>
      <c r="O5" s="2">
        <v>5.0</v>
      </c>
      <c r="P5" s="2">
        <v>0.0</v>
      </c>
      <c r="Q5" s="2">
        <v>0.0</v>
      </c>
      <c r="R5" s="2">
        <v>30.0</v>
      </c>
      <c r="S5" s="2">
        <v>50.0</v>
      </c>
      <c r="T5" s="2">
        <v>2.0</v>
      </c>
      <c r="U5" s="2">
        <v>3.0</v>
      </c>
      <c r="V5" s="2">
        <v>5.0</v>
      </c>
      <c r="W5" s="2">
        <v>100.0</v>
      </c>
      <c r="X5" s="2">
        <v>100.0</v>
      </c>
      <c r="Y5" s="2">
        <v>0.0</v>
      </c>
      <c r="Z5" s="2">
        <v>0.0</v>
      </c>
      <c r="AA5" s="2">
        <v>0.0</v>
      </c>
      <c r="AB5" s="2">
        <v>0.0</v>
      </c>
      <c r="AC5" s="2">
        <v>0.0</v>
      </c>
      <c r="AD5" s="2">
        <v>0.0</v>
      </c>
      <c r="AE5" s="2">
        <v>7.0</v>
      </c>
      <c r="AF5" s="2">
        <v>15.0</v>
      </c>
      <c r="AG5" s="2">
        <v>90.0</v>
      </c>
      <c r="AH5" s="2">
        <v>0.0</v>
      </c>
      <c r="AI5" s="2" t="s">
        <v>161</v>
      </c>
      <c r="AJ5" s="2" t="s">
        <v>162</v>
      </c>
      <c r="AK5" s="2">
        <v>32.1340288345206</v>
      </c>
      <c r="AL5" s="2">
        <v>19.5093016787265</v>
      </c>
      <c r="AM5" s="2" t="s">
        <v>55</v>
      </c>
      <c r="AN5" s="2">
        <v>2.006</v>
      </c>
      <c r="AO5" s="2" t="s">
        <v>31</v>
      </c>
      <c r="AP5" s="2">
        <v>0.89811320754717</v>
      </c>
      <c r="AQ5" s="2">
        <v>0.00235849056603774</v>
      </c>
      <c r="AR5" s="2">
        <v>0.052122641509434</v>
      </c>
      <c r="AS5" s="2">
        <v>1.0</v>
      </c>
    </row>
    <row r="6">
      <c r="A6" s="2">
        <v>1.0</v>
      </c>
      <c r="B6" s="2">
        <v>1611.084961</v>
      </c>
      <c r="C6" s="2">
        <v>8.0</v>
      </c>
      <c r="D6" s="2">
        <v>1533956.182</v>
      </c>
      <c r="E6" s="2">
        <v>5446313.487</v>
      </c>
      <c r="F6" s="2">
        <v>1611.084961</v>
      </c>
      <c r="G6" s="2" t="s">
        <v>138</v>
      </c>
      <c r="H6" s="2" t="s">
        <v>164</v>
      </c>
      <c r="I6" s="2">
        <v>45390.0</v>
      </c>
      <c r="J6" s="2">
        <v>5.0</v>
      </c>
      <c r="K6" s="2" t="s">
        <v>31</v>
      </c>
      <c r="L6" s="2" t="s">
        <v>34</v>
      </c>
      <c r="M6" s="2">
        <v>1.0</v>
      </c>
      <c r="N6" s="2">
        <v>0.0</v>
      </c>
      <c r="O6" s="2">
        <v>30.0</v>
      </c>
      <c r="P6" s="2">
        <v>0.0</v>
      </c>
      <c r="Q6" s="2">
        <v>0.0</v>
      </c>
      <c r="R6" s="2">
        <v>0.0</v>
      </c>
      <c r="S6" s="2">
        <v>10.0</v>
      </c>
      <c r="T6" s="2">
        <v>10.0</v>
      </c>
      <c r="U6" s="2">
        <v>10.0</v>
      </c>
      <c r="V6" s="2">
        <v>40.0</v>
      </c>
      <c r="W6" s="2">
        <v>100.0</v>
      </c>
      <c r="X6" s="2">
        <v>100.0</v>
      </c>
      <c r="Y6" s="2">
        <v>0.0</v>
      </c>
      <c r="Z6" s="2">
        <v>0.0</v>
      </c>
      <c r="AA6" s="2">
        <v>0.0</v>
      </c>
      <c r="AB6" s="2">
        <v>0.0</v>
      </c>
      <c r="AC6" s="2">
        <v>0.0</v>
      </c>
      <c r="AD6" s="2">
        <v>0.0</v>
      </c>
      <c r="AE6" s="2">
        <v>8.0</v>
      </c>
      <c r="AF6" s="2">
        <v>20.0</v>
      </c>
      <c r="AG6" s="2">
        <v>70.0</v>
      </c>
      <c r="AH6" s="2">
        <v>0.0</v>
      </c>
      <c r="AI6" s="2" t="s">
        <v>166</v>
      </c>
      <c r="AJ6" s="2" t="s">
        <v>167</v>
      </c>
      <c r="AK6" s="2">
        <v>39.6378295461235</v>
      </c>
      <c r="AL6" s="2">
        <v>19.0144143481619</v>
      </c>
      <c r="AM6" s="2" t="s">
        <v>55</v>
      </c>
      <c r="AN6" s="2">
        <v>2.006</v>
      </c>
      <c r="AO6" s="2" t="s">
        <v>31</v>
      </c>
      <c r="AP6" s="2">
        <v>0.699056603773585</v>
      </c>
      <c r="AQ6" s="2">
        <v>0.00235849056603774</v>
      </c>
      <c r="AR6" s="2">
        <v>0.00235849056603774</v>
      </c>
      <c r="AS6" s="2">
        <v>1.0</v>
      </c>
    </row>
    <row r="7">
      <c r="A7" s="2">
        <v>1.0</v>
      </c>
      <c r="B7" s="2">
        <v>1608.407715</v>
      </c>
      <c r="C7" s="2">
        <v>9.0</v>
      </c>
      <c r="D7" s="2">
        <v>1533957.476</v>
      </c>
      <c r="E7" s="2">
        <v>5446302.819</v>
      </c>
      <c r="F7" s="2">
        <v>1608.407715</v>
      </c>
      <c r="G7" s="2" t="s">
        <v>138</v>
      </c>
      <c r="H7" s="2" t="s">
        <v>168</v>
      </c>
      <c r="I7" s="2">
        <v>45390.0</v>
      </c>
      <c r="J7" s="2">
        <v>6.0</v>
      </c>
      <c r="K7" s="2" t="s">
        <v>31</v>
      </c>
      <c r="L7" s="2" t="s">
        <v>34</v>
      </c>
      <c r="M7" s="2">
        <v>1.0</v>
      </c>
      <c r="N7" s="2">
        <v>0.0</v>
      </c>
      <c r="O7" s="2">
        <v>80.0</v>
      </c>
      <c r="P7" s="2">
        <v>0.0</v>
      </c>
      <c r="Q7" s="2">
        <v>0.0</v>
      </c>
      <c r="R7" s="2">
        <v>0.0</v>
      </c>
      <c r="S7" s="2">
        <v>5.0</v>
      </c>
      <c r="T7" s="2">
        <v>5.0</v>
      </c>
      <c r="U7" s="2">
        <v>0.0</v>
      </c>
      <c r="V7" s="2">
        <v>10.0</v>
      </c>
      <c r="W7" s="2">
        <v>100.0</v>
      </c>
      <c r="X7" s="2">
        <v>100.0</v>
      </c>
      <c r="Y7" s="2">
        <v>0.0</v>
      </c>
      <c r="Z7" s="2">
        <v>0.0</v>
      </c>
      <c r="AA7" s="2">
        <v>0.0</v>
      </c>
      <c r="AB7" s="2">
        <v>0.0</v>
      </c>
      <c r="AC7" s="2">
        <v>0.0</v>
      </c>
      <c r="AD7" s="2">
        <v>0.0</v>
      </c>
      <c r="AE7" s="2">
        <v>9.0</v>
      </c>
      <c r="AF7" s="2">
        <v>25.0</v>
      </c>
      <c r="AG7" s="2">
        <v>20.0</v>
      </c>
      <c r="AH7" s="2">
        <v>0.0</v>
      </c>
      <c r="AI7" s="2" t="s">
        <v>172</v>
      </c>
      <c r="AJ7" s="2" t="s">
        <v>174</v>
      </c>
      <c r="AK7" s="2">
        <v>48.7583220142648</v>
      </c>
      <c r="AL7" s="2">
        <v>22.7983960183308</v>
      </c>
      <c r="AM7" s="2" t="s">
        <v>55</v>
      </c>
      <c r="AN7" s="2">
        <v>2.006</v>
      </c>
      <c r="AO7" s="2" t="s">
        <v>31</v>
      </c>
      <c r="AP7" s="2">
        <v>0.201415094339623</v>
      </c>
      <c r="AQ7" s="2">
        <v>0.00235849056603774</v>
      </c>
      <c r="AR7" s="2">
        <v>0.00235849056603774</v>
      </c>
      <c r="AS7" s="2">
        <v>1.0</v>
      </c>
    </row>
    <row r="8">
      <c r="A8" s="2">
        <v>1.0</v>
      </c>
      <c r="B8" s="2">
        <v>1608.203979</v>
      </c>
      <c r="C8" s="2">
        <v>10.0</v>
      </c>
      <c r="D8" s="2">
        <v>1533961.458</v>
      </c>
      <c r="E8" s="2">
        <v>5446292.361</v>
      </c>
      <c r="F8" s="2">
        <v>1608.203979</v>
      </c>
      <c r="G8" s="2" t="s">
        <v>138</v>
      </c>
      <c r="H8" s="2" t="s">
        <v>177</v>
      </c>
      <c r="I8" s="2">
        <v>45390.0</v>
      </c>
      <c r="J8" s="2">
        <v>7.0</v>
      </c>
      <c r="K8" s="2" t="s">
        <v>31</v>
      </c>
      <c r="L8" s="2" t="s">
        <v>34</v>
      </c>
      <c r="M8" s="2">
        <v>1.0</v>
      </c>
      <c r="N8" s="2">
        <v>0.0</v>
      </c>
      <c r="O8" s="2">
        <v>20.0</v>
      </c>
      <c r="P8" s="2">
        <v>0.0</v>
      </c>
      <c r="Q8" s="2">
        <v>0.0</v>
      </c>
      <c r="R8" s="2">
        <v>0.0</v>
      </c>
      <c r="S8" s="2">
        <v>5.0</v>
      </c>
      <c r="T8" s="2">
        <v>5.0</v>
      </c>
      <c r="U8" s="2">
        <v>60.0</v>
      </c>
      <c r="V8" s="2">
        <v>10.0</v>
      </c>
      <c r="W8" s="2">
        <v>100.0</v>
      </c>
      <c r="X8" s="2">
        <v>100.0</v>
      </c>
      <c r="Y8" s="2">
        <v>0.0</v>
      </c>
      <c r="Z8" s="2">
        <v>0.0</v>
      </c>
      <c r="AA8" s="2">
        <v>0.0</v>
      </c>
      <c r="AB8" s="2">
        <v>0.0</v>
      </c>
      <c r="AC8" s="2">
        <v>0.0</v>
      </c>
      <c r="AD8" s="2">
        <v>0.0</v>
      </c>
      <c r="AE8" s="2">
        <v>10.0</v>
      </c>
      <c r="AF8" s="2">
        <v>30.0</v>
      </c>
      <c r="AG8" s="2">
        <v>80.0</v>
      </c>
      <c r="AH8" s="2">
        <v>0.0</v>
      </c>
      <c r="AI8" s="2" t="s">
        <v>182</v>
      </c>
      <c r="AJ8" s="2" t="s">
        <v>183</v>
      </c>
      <c r="AK8" s="2">
        <v>59.6587804639078</v>
      </c>
      <c r="AL8" s="2">
        <v>31.9922533286012</v>
      </c>
      <c r="AM8" s="2" t="s">
        <v>55</v>
      </c>
      <c r="AN8" s="2">
        <v>2.006</v>
      </c>
      <c r="AO8" s="2" t="s">
        <v>31</v>
      </c>
      <c r="AP8" s="2">
        <v>0.798584905660377</v>
      </c>
      <c r="AQ8" s="2">
        <v>0.00235849056603774</v>
      </c>
      <c r="AR8" s="2">
        <v>0.00235849056603774</v>
      </c>
      <c r="AS8" s="2">
        <v>1.0</v>
      </c>
    </row>
    <row r="9">
      <c r="A9" s="2">
        <v>1.0</v>
      </c>
      <c r="B9" s="2">
        <v>1609.732544</v>
      </c>
      <c r="C9" s="2">
        <v>11.0</v>
      </c>
      <c r="D9" s="2">
        <v>1533967.19</v>
      </c>
      <c r="E9" s="2">
        <v>5446279.229</v>
      </c>
      <c r="F9" s="2">
        <v>1609.732544</v>
      </c>
      <c r="G9" s="2" t="s">
        <v>138</v>
      </c>
      <c r="H9" s="2" t="s">
        <v>187</v>
      </c>
      <c r="I9" s="2">
        <v>45390.0</v>
      </c>
      <c r="J9" s="2">
        <v>8.0</v>
      </c>
      <c r="K9" s="2" t="s">
        <v>31</v>
      </c>
      <c r="L9" s="2" t="s">
        <v>34</v>
      </c>
      <c r="M9" s="2">
        <v>2.0</v>
      </c>
      <c r="N9" s="2">
        <v>40.0</v>
      </c>
      <c r="O9" s="2">
        <v>20.0</v>
      </c>
      <c r="P9" s="2">
        <v>0.0</v>
      </c>
      <c r="Q9" s="2">
        <v>0.0</v>
      </c>
      <c r="R9" s="2">
        <v>0.0</v>
      </c>
      <c r="S9" s="2">
        <v>10.0</v>
      </c>
      <c r="T9" s="2">
        <v>10.0</v>
      </c>
      <c r="U9" s="2">
        <v>10.0</v>
      </c>
      <c r="V9" s="2">
        <v>10.0</v>
      </c>
      <c r="W9" s="2">
        <v>100.0</v>
      </c>
      <c r="X9" s="2">
        <v>85.0</v>
      </c>
      <c r="Y9" s="2">
        <v>0.0</v>
      </c>
      <c r="Z9" s="2">
        <v>15.0</v>
      </c>
      <c r="AA9" s="2">
        <v>0.0</v>
      </c>
      <c r="AB9" s="2">
        <v>0.0</v>
      </c>
      <c r="AC9" s="2">
        <v>0.0</v>
      </c>
      <c r="AD9" s="2">
        <v>0.0</v>
      </c>
      <c r="AE9" s="2">
        <v>11.0</v>
      </c>
      <c r="AF9" s="2">
        <v>35.0</v>
      </c>
      <c r="AG9" s="2">
        <v>40.0</v>
      </c>
      <c r="AH9" s="2">
        <v>15.0</v>
      </c>
      <c r="AI9" s="2" t="s">
        <v>191</v>
      </c>
      <c r="AJ9" s="2" t="s">
        <v>193</v>
      </c>
      <c r="AK9" s="2">
        <v>73.8429920701415</v>
      </c>
      <c r="AL9" s="2">
        <v>24.3897979492563</v>
      </c>
      <c r="AM9" s="2" t="s">
        <v>55</v>
      </c>
      <c r="AN9" s="2">
        <v>2.006</v>
      </c>
      <c r="AO9" s="2" t="s">
        <v>31</v>
      </c>
      <c r="AP9" s="2">
        <v>0.400471698113208</v>
      </c>
      <c r="AQ9" s="2">
        <v>0.151650943396226</v>
      </c>
      <c r="AR9" s="2">
        <v>0.400471698113208</v>
      </c>
      <c r="AS9" s="2">
        <v>2.0</v>
      </c>
    </row>
    <row r="10">
      <c r="A10" s="2">
        <v>1.0</v>
      </c>
      <c r="B10" s="2">
        <v>1606.453125</v>
      </c>
      <c r="C10" s="2">
        <v>12.0</v>
      </c>
      <c r="D10" s="2">
        <v>1533964.541</v>
      </c>
      <c r="E10" s="2">
        <v>5446269.246</v>
      </c>
      <c r="F10" s="2">
        <v>1606.453125</v>
      </c>
      <c r="G10" s="2" t="s">
        <v>138</v>
      </c>
      <c r="H10" s="2" t="s">
        <v>195</v>
      </c>
      <c r="I10" s="2">
        <v>45390.0</v>
      </c>
      <c r="J10" s="2">
        <v>9.0</v>
      </c>
      <c r="K10" s="2" t="s">
        <v>31</v>
      </c>
      <c r="L10" s="2" t="s">
        <v>34</v>
      </c>
      <c r="M10" s="2">
        <v>1.0</v>
      </c>
      <c r="N10" s="2">
        <v>0.0</v>
      </c>
      <c r="O10" s="2">
        <v>70.0</v>
      </c>
      <c r="P10" s="2">
        <v>0.0</v>
      </c>
      <c r="Q10" s="2">
        <v>0.0</v>
      </c>
      <c r="R10" s="2">
        <v>0.0</v>
      </c>
      <c r="S10" s="2">
        <v>10.0</v>
      </c>
      <c r="T10" s="2">
        <v>5.0</v>
      </c>
      <c r="U10" s="2">
        <v>10.0</v>
      </c>
      <c r="V10" s="2">
        <v>5.0</v>
      </c>
      <c r="W10" s="2">
        <v>100.0</v>
      </c>
      <c r="X10" s="2">
        <v>100.0</v>
      </c>
      <c r="Y10" s="2">
        <v>0.0</v>
      </c>
      <c r="Z10" s="2">
        <v>0.0</v>
      </c>
      <c r="AA10" s="2">
        <v>0.0</v>
      </c>
      <c r="AB10" s="2">
        <v>0.0</v>
      </c>
      <c r="AC10" s="2">
        <v>0.0</v>
      </c>
      <c r="AD10" s="2">
        <v>0.0</v>
      </c>
      <c r="AE10" s="2">
        <v>12.0</v>
      </c>
      <c r="AF10" s="2">
        <v>40.0</v>
      </c>
      <c r="AG10" s="2">
        <v>30.0</v>
      </c>
      <c r="AH10" s="2">
        <v>0.0</v>
      </c>
      <c r="AI10" s="2" t="s">
        <v>201</v>
      </c>
      <c r="AJ10" s="2" t="s">
        <v>202</v>
      </c>
      <c r="AK10" s="2">
        <v>81.3870166991003</v>
      </c>
      <c r="AL10" s="2">
        <v>15.4095337373198</v>
      </c>
      <c r="AM10" s="2" t="s">
        <v>55</v>
      </c>
      <c r="AN10" s="2">
        <v>2.006</v>
      </c>
      <c r="AO10" s="2" t="s">
        <v>31</v>
      </c>
      <c r="AP10" s="2">
        <v>0.300943396226415</v>
      </c>
      <c r="AQ10" s="2">
        <v>0.00235849056603774</v>
      </c>
      <c r="AR10" s="2">
        <v>0.00235849056603774</v>
      </c>
      <c r="AS10" s="2">
        <v>1.0</v>
      </c>
    </row>
    <row r="11">
      <c r="A11" s="2">
        <v>1.0</v>
      </c>
      <c r="B11" s="2">
        <v>1604.904541</v>
      </c>
      <c r="C11" s="2">
        <v>13.0</v>
      </c>
      <c r="D11" s="2">
        <v>1533958.282</v>
      </c>
      <c r="E11" s="2">
        <v>5446259.502</v>
      </c>
      <c r="F11" s="2">
        <v>1604.904541</v>
      </c>
      <c r="G11" s="2" t="s">
        <v>138</v>
      </c>
      <c r="H11" s="2" t="s">
        <v>208</v>
      </c>
      <c r="I11" s="2">
        <v>45390.0</v>
      </c>
      <c r="J11" s="2">
        <v>10.0</v>
      </c>
      <c r="K11" s="2" t="s">
        <v>31</v>
      </c>
      <c r="L11" s="2" t="s">
        <v>34</v>
      </c>
      <c r="M11" s="2">
        <v>2.0</v>
      </c>
      <c r="N11" s="2">
        <v>10.0</v>
      </c>
      <c r="O11" s="2">
        <v>80.0</v>
      </c>
      <c r="P11" s="2">
        <v>0.0</v>
      </c>
      <c r="Q11" s="2">
        <v>0.0</v>
      </c>
      <c r="R11" s="2">
        <v>0.0</v>
      </c>
      <c r="S11" s="2">
        <v>5.0</v>
      </c>
      <c r="T11" s="2">
        <v>0.0</v>
      </c>
      <c r="U11" s="2">
        <v>0.0</v>
      </c>
      <c r="V11" s="2">
        <v>5.0</v>
      </c>
      <c r="W11" s="2">
        <v>100.0</v>
      </c>
      <c r="X11" s="2">
        <v>70.0</v>
      </c>
      <c r="Y11" s="2">
        <v>0.0</v>
      </c>
      <c r="Z11" s="2">
        <v>0.0</v>
      </c>
      <c r="AA11" s="2">
        <v>0.0</v>
      </c>
      <c r="AB11" s="2">
        <v>0.0</v>
      </c>
      <c r="AC11" s="2">
        <v>30.0</v>
      </c>
      <c r="AD11" s="2">
        <v>0.0</v>
      </c>
      <c r="AE11" s="2">
        <v>13.0</v>
      </c>
      <c r="AF11" s="2">
        <v>45.0</v>
      </c>
      <c r="AG11" s="2">
        <v>10.0</v>
      </c>
      <c r="AH11" s="2">
        <v>30.0</v>
      </c>
      <c r="AI11" s="2" t="s">
        <v>213</v>
      </c>
      <c r="AJ11" s="2" t="s">
        <v>215</v>
      </c>
      <c r="AK11" s="2">
        <v>87.2448076647178</v>
      </c>
      <c r="AL11" s="2">
        <v>6.04654521171023</v>
      </c>
      <c r="AM11" s="2" t="s">
        <v>55</v>
      </c>
      <c r="AN11" s="2">
        <v>2.006</v>
      </c>
      <c r="AO11" s="2" t="s">
        <v>31</v>
      </c>
      <c r="AP11" s="2">
        <v>0.10188679245283</v>
      </c>
      <c r="AQ11" s="2">
        <v>0.300943396226415</v>
      </c>
      <c r="AR11" s="2">
        <v>0.10188679245283</v>
      </c>
      <c r="AS11" s="2">
        <v>2.0</v>
      </c>
    </row>
    <row r="12">
      <c r="A12" s="2">
        <v>1.0</v>
      </c>
      <c r="B12" s="2">
        <v>1603.319458</v>
      </c>
      <c r="C12" s="2">
        <v>14.0</v>
      </c>
      <c r="D12" s="2">
        <v>1533952.708</v>
      </c>
      <c r="E12" s="2">
        <v>5446252.531</v>
      </c>
      <c r="F12" s="2">
        <v>1603.319458</v>
      </c>
      <c r="G12" s="2" t="s">
        <v>138</v>
      </c>
      <c r="H12" s="2" t="s">
        <v>219</v>
      </c>
      <c r="I12" s="2">
        <v>45390.0</v>
      </c>
      <c r="J12" s="2">
        <v>11.0</v>
      </c>
      <c r="K12" s="2" t="s">
        <v>31</v>
      </c>
      <c r="L12" s="2" t="s">
        <v>34</v>
      </c>
      <c r="M12" s="2">
        <v>2.0</v>
      </c>
      <c r="N12" s="2">
        <v>60.0</v>
      </c>
      <c r="O12" s="2">
        <v>30.0</v>
      </c>
      <c r="P12" s="2">
        <v>0.0</v>
      </c>
      <c r="Q12" s="2">
        <v>0.0</v>
      </c>
      <c r="R12" s="2">
        <v>0.0</v>
      </c>
      <c r="S12" s="2">
        <v>10.0</v>
      </c>
      <c r="T12" s="2">
        <v>0.0</v>
      </c>
      <c r="U12" s="2">
        <v>0.0</v>
      </c>
      <c r="V12" s="2">
        <v>0.0</v>
      </c>
      <c r="W12" s="2">
        <v>100.0</v>
      </c>
      <c r="X12" s="2">
        <v>40.0</v>
      </c>
      <c r="Y12" s="2">
        <v>0.0</v>
      </c>
      <c r="Z12" s="2">
        <v>60.0</v>
      </c>
      <c r="AA12" s="2">
        <v>0.0</v>
      </c>
      <c r="AB12" s="2">
        <v>0.0</v>
      </c>
      <c r="AC12" s="2">
        <v>0.0</v>
      </c>
      <c r="AD12" s="2">
        <v>0.0</v>
      </c>
      <c r="AE12" s="2">
        <v>14.0</v>
      </c>
      <c r="AF12" s="2">
        <v>50.0</v>
      </c>
      <c r="AG12" s="2">
        <v>10.0</v>
      </c>
      <c r="AH12" s="2">
        <v>60.0</v>
      </c>
      <c r="AI12" s="2" t="s">
        <v>228</v>
      </c>
      <c r="AJ12" s="2" t="s">
        <v>230</v>
      </c>
      <c r="AK12" s="2">
        <v>90.9264778778573</v>
      </c>
      <c r="AL12" s="2">
        <v>7.43200242155747</v>
      </c>
      <c r="AM12" s="2" t="s">
        <v>55</v>
      </c>
      <c r="AN12" s="2">
        <v>2.006</v>
      </c>
      <c r="AO12" s="2" t="s">
        <v>31</v>
      </c>
      <c r="AP12" s="2">
        <v>0.10188679245283</v>
      </c>
      <c r="AQ12" s="2">
        <v>0.599528301886792</v>
      </c>
      <c r="AR12" s="2">
        <v>0.599528301886792</v>
      </c>
      <c r="AS12" s="2">
        <v>2.0</v>
      </c>
    </row>
    <row r="13">
      <c r="A13" s="2">
        <v>1.0</v>
      </c>
      <c r="B13" s="2">
        <v>1601.218872</v>
      </c>
      <c r="C13" s="2">
        <v>15.0</v>
      </c>
      <c r="D13" s="2">
        <v>1533949.198</v>
      </c>
      <c r="E13" s="2">
        <v>5446237.999</v>
      </c>
      <c r="F13" s="2">
        <v>1601.218872</v>
      </c>
      <c r="G13" s="2" t="s">
        <v>138</v>
      </c>
      <c r="H13" s="2" t="s">
        <v>236</v>
      </c>
      <c r="I13" s="2">
        <v>45390.0</v>
      </c>
      <c r="J13" s="2">
        <v>12.0</v>
      </c>
      <c r="K13" s="2" t="s">
        <v>31</v>
      </c>
      <c r="L13" s="2" t="s">
        <v>34</v>
      </c>
      <c r="M13" s="2">
        <v>3.0</v>
      </c>
      <c r="N13" s="2">
        <v>50.0</v>
      </c>
      <c r="O13" s="2">
        <v>30.0</v>
      </c>
      <c r="P13" s="2">
        <v>0.0</v>
      </c>
      <c r="Q13" s="2">
        <v>0.0</v>
      </c>
      <c r="R13" s="2">
        <v>0.0</v>
      </c>
      <c r="S13" s="2">
        <v>0.0</v>
      </c>
      <c r="T13" s="2">
        <v>15.0</v>
      </c>
      <c r="U13" s="2">
        <v>5.0</v>
      </c>
      <c r="V13" s="2">
        <v>0.0</v>
      </c>
      <c r="W13" s="2">
        <v>100.0</v>
      </c>
      <c r="X13" s="2">
        <v>30.0</v>
      </c>
      <c r="Y13" s="2">
        <v>0.0</v>
      </c>
      <c r="Z13" s="2">
        <v>70.0</v>
      </c>
      <c r="AA13" s="2">
        <v>0.0</v>
      </c>
      <c r="AB13" s="2">
        <v>0.0</v>
      </c>
      <c r="AC13" s="2">
        <v>0.0</v>
      </c>
      <c r="AD13" s="2">
        <v>0.0</v>
      </c>
      <c r="AE13" s="2">
        <v>15.0</v>
      </c>
      <c r="AF13" s="2">
        <v>55.0</v>
      </c>
      <c r="AG13" s="2">
        <v>20.0</v>
      </c>
      <c r="AH13" s="2">
        <v>70.0</v>
      </c>
      <c r="AI13" s="2" t="s">
        <v>243</v>
      </c>
      <c r="AJ13" s="2" t="s">
        <v>244</v>
      </c>
      <c r="AK13" s="2">
        <v>103.121182602076</v>
      </c>
      <c r="AL13" s="2">
        <v>5.33108853824188</v>
      </c>
      <c r="AM13" s="2" t="s">
        <v>55</v>
      </c>
      <c r="AN13" s="2">
        <v>2.006</v>
      </c>
      <c r="AO13" s="2" t="s">
        <v>31</v>
      </c>
      <c r="AP13" s="2">
        <v>0.201415094339623</v>
      </c>
      <c r="AQ13" s="2">
        <v>0.699056603773585</v>
      </c>
      <c r="AR13" s="2">
        <v>0.5</v>
      </c>
      <c r="AS13" s="2">
        <v>3.0</v>
      </c>
    </row>
    <row r="14">
      <c r="A14" s="2">
        <v>1.0</v>
      </c>
      <c r="B14" s="2">
        <v>1600.915161</v>
      </c>
      <c r="C14" s="2">
        <v>16.0</v>
      </c>
      <c r="D14" s="2">
        <v>1533941.848</v>
      </c>
      <c r="E14" s="2">
        <v>5446228.26</v>
      </c>
      <c r="F14" s="2">
        <v>1600.915161</v>
      </c>
      <c r="G14" s="2" t="s">
        <v>138</v>
      </c>
      <c r="H14" s="2" t="s">
        <v>247</v>
      </c>
      <c r="I14" s="2">
        <v>45390.0</v>
      </c>
      <c r="J14" s="2">
        <v>13.0</v>
      </c>
      <c r="K14" s="2" t="s">
        <v>31</v>
      </c>
      <c r="L14" s="2" t="s">
        <v>34</v>
      </c>
      <c r="M14" s="2">
        <v>2.0</v>
      </c>
      <c r="N14" s="2">
        <v>15.0</v>
      </c>
      <c r="O14" s="2">
        <v>75.0</v>
      </c>
      <c r="P14" s="2">
        <v>0.0</v>
      </c>
      <c r="Q14" s="2">
        <v>0.0</v>
      </c>
      <c r="R14" s="2">
        <v>0.0</v>
      </c>
      <c r="S14" s="2">
        <v>10.0</v>
      </c>
      <c r="T14" s="2">
        <v>0.0</v>
      </c>
      <c r="U14" s="2">
        <v>0.0</v>
      </c>
      <c r="V14" s="2">
        <v>0.0</v>
      </c>
      <c r="W14" s="2">
        <v>100.0</v>
      </c>
      <c r="X14" s="2">
        <v>90.0</v>
      </c>
      <c r="Y14" s="2">
        <v>0.0</v>
      </c>
      <c r="Z14" s="2">
        <v>10.0</v>
      </c>
      <c r="AA14" s="2">
        <v>0.0</v>
      </c>
      <c r="AB14" s="2">
        <v>0.0</v>
      </c>
      <c r="AC14" s="2">
        <v>0.0</v>
      </c>
      <c r="AD14" s="2">
        <v>0.0</v>
      </c>
      <c r="AE14" s="2">
        <v>16.0</v>
      </c>
      <c r="AF14" s="2">
        <v>60.0</v>
      </c>
      <c r="AG14" s="2">
        <v>10.0</v>
      </c>
      <c r="AH14" s="2">
        <v>10.0</v>
      </c>
      <c r="AI14" s="2" t="s">
        <v>250</v>
      </c>
      <c r="AJ14" s="2" t="s">
        <v>251</v>
      </c>
      <c r="AK14" s="2">
        <v>110.35437617686</v>
      </c>
      <c r="AL14" s="2">
        <v>4.14932886112509</v>
      </c>
      <c r="AM14" s="2" t="s">
        <v>55</v>
      </c>
      <c r="AN14" s="2">
        <v>2.006</v>
      </c>
      <c r="AO14" s="2" t="s">
        <v>31</v>
      </c>
      <c r="AP14" s="2">
        <v>0.10188679245283</v>
      </c>
      <c r="AQ14" s="2">
        <v>0.10188679245283</v>
      </c>
      <c r="AR14" s="2">
        <v>0.151650943396226</v>
      </c>
      <c r="AS14" s="2">
        <v>2.0</v>
      </c>
    </row>
    <row r="15">
      <c r="A15" s="2">
        <v>1.0</v>
      </c>
      <c r="B15" s="2">
        <v>1598.702271</v>
      </c>
      <c r="C15" s="2">
        <v>17.0</v>
      </c>
      <c r="D15" s="2">
        <v>1533949.377</v>
      </c>
      <c r="E15" s="2">
        <v>5446222.228</v>
      </c>
      <c r="F15" s="2">
        <v>1598.702271</v>
      </c>
      <c r="G15" s="2" t="s">
        <v>138</v>
      </c>
      <c r="H15" s="2" t="s">
        <v>266</v>
      </c>
      <c r="I15" s="2">
        <v>45390.0</v>
      </c>
      <c r="J15" s="2">
        <v>14.0</v>
      </c>
      <c r="K15" s="2" t="s">
        <v>31</v>
      </c>
      <c r="L15" s="2" t="s">
        <v>34</v>
      </c>
      <c r="M15" s="2">
        <v>2.0</v>
      </c>
      <c r="N15" s="2">
        <v>0.0</v>
      </c>
      <c r="O15" s="2">
        <v>30.0</v>
      </c>
      <c r="P15" s="2">
        <v>0.0</v>
      </c>
      <c r="Q15" s="2">
        <v>0.0</v>
      </c>
      <c r="R15" s="2">
        <v>0.0</v>
      </c>
      <c r="S15" s="2">
        <v>10.0</v>
      </c>
      <c r="T15" s="2">
        <v>0.0</v>
      </c>
      <c r="U15" s="2">
        <v>20.0</v>
      </c>
      <c r="V15" s="2">
        <v>40.0</v>
      </c>
      <c r="W15" s="2">
        <v>100.0</v>
      </c>
      <c r="X15" s="2">
        <v>70.0</v>
      </c>
      <c r="Y15" s="2">
        <v>0.0</v>
      </c>
      <c r="Z15" s="2">
        <v>30.0</v>
      </c>
      <c r="AA15" s="2">
        <v>0.0</v>
      </c>
      <c r="AB15" s="2">
        <v>0.0</v>
      </c>
      <c r="AC15" s="2">
        <v>0.0</v>
      </c>
      <c r="AD15" s="2">
        <v>0.0</v>
      </c>
      <c r="AE15" s="2">
        <v>17.0</v>
      </c>
      <c r="AF15" s="2">
        <v>65.0</v>
      </c>
      <c r="AG15" s="2">
        <v>70.0</v>
      </c>
      <c r="AH15" s="2">
        <v>30.0</v>
      </c>
      <c r="AI15" s="2" t="s">
        <v>278</v>
      </c>
      <c r="AJ15" s="2" t="s">
        <v>280</v>
      </c>
      <c r="AK15" s="2">
        <v>118.173857295307</v>
      </c>
      <c r="AL15" s="2">
        <v>5.78491702622377</v>
      </c>
      <c r="AM15" s="2" t="s">
        <v>55</v>
      </c>
      <c r="AN15" s="2">
        <v>2.006</v>
      </c>
      <c r="AO15" s="2" t="s">
        <v>31</v>
      </c>
      <c r="AP15" s="2">
        <v>0.699056603773585</v>
      </c>
      <c r="AQ15" s="2">
        <v>0.300943396226415</v>
      </c>
      <c r="AR15" s="2">
        <v>0.00235849056603774</v>
      </c>
      <c r="AS15" s="2">
        <v>2.0</v>
      </c>
    </row>
    <row r="16">
      <c r="A16" s="2">
        <v>1.0</v>
      </c>
      <c r="B16" s="2">
        <v>1598.828125</v>
      </c>
      <c r="C16" s="2">
        <v>18.0</v>
      </c>
      <c r="D16" s="2">
        <v>1533954.737</v>
      </c>
      <c r="E16" s="2">
        <v>5446219.315</v>
      </c>
      <c r="F16" s="2">
        <v>1598.828125</v>
      </c>
      <c r="G16" s="2" t="s">
        <v>138</v>
      </c>
      <c r="H16" s="2" t="s">
        <v>283</v>
      </c>
      <c r="I16" s="2">
        <v>45390.0</v>
      </c>
      <c r="J16" s="2">
        <v>15.0</v>
      </c>
      <c r="K16" s="2" t="s">
        <v>31</v>
      </c>
      <c r="L16" s="2" t="s">
        <v>34</v>
      </c>
      <c r="M16" s="2">
        <v>1.0</v>
      </c>
      <c r="N16" s="2">
        <v>0.0</v>
      </c>
      <c r="O16" s="2">
        <v>20.0</v>
      </c>
      <c r="P16" s="2">
        <v>0.0</v>
      </c>
      <c r="Q16" s="2">
        <v>0.0</v>
      </c>
      <c r="R16" s="2">
        <v>10.0</v>
      </c>
      <c r="S16" s="2">
        <v>30.0</v>
      </c>
      <c r="T16" s="2">
        <v>0.0</v>
      </c>
      <c r="U16" s="2">
        <v>20.0</v>
      </c>
      <c r="V16" s="2">
        <v>20.0</v>
      </c>
      <c r="W16" s="2">
        <v>100.0</v>
      </c>
      <c r="X16" s="2">
        <v>100.0</v>
      </c>
      <c r="Y16" s="2">
        <v>0.0</v>
      </c>
      <c r="Z16" s="2">
        <v>0.0</v>
      </c>
      <c r="AA16" s="2">
        <v>0.0</v>
      </c>
      <c r="AB16" s="2">
        <v>0.0</v>
      </c>
      <c r="AC16" s="2">
        <v>0.0</v>
      </c>
      <c r="AD16" s="2">
        <v>0.0</v>
      </c>
      <c r="AE16" s="2">
        <v>18.0</v>
      </c>
      <c r="AF16" s="2">
        <v>70.0</v>
      </c>
      <c r="AG16" s="2">
        <v>80.0</v>
      </c>
      <c r="AH16" s="2">
        <v>0.0</v>
      </c>
      <c r="AI16" s="2" t="s">
        <v>292</v>
      </c>
      <c r="AJ16" s="2" t="s">
        <v>293</v>
      </c>
      <c r="AK16" s="2">
        <v>122.589748929723</v>
      </c>
      <c r="AL16" s="2">
        <v>11.8843628350305</v>
      </c>
      <c r="AM16" s="2" t="s">
        <v>55</v>
      </c>
      <c r="AN16" s="2">
        <v>2.006</v>
      </c>
      <c r="AO16" s="2" t="s">
        <v>31</v>
      </c>
      <c r="AP16" s="2">
        <v>0.798584905660377</v>
      </c>
      <c r="AQ16" s="2">
        <v>0.00235849056603774</v>
      </c>
      <c r="AR16" s="2">
        <v>0.00235849056603774</v>
      </c>
      <c r="AS16" s="2">
        <v>1.0</v>
      </c>
    </row>
    <row r="17">
      <c r="A17" s="2">
        <v>3.0</v>
      </c>
      <c r="B17" s="2">
        <v>1125.707153</v>
      </c>
      <c r="C17" s="2">
        <v>19.0</v>
      </c>
      <c r="D17" s="2">
        <v>1532766.078</v>
      </c>
      <c r="E17" s="2">
        <v>5445343.483</v>
      </c>
      <c r="F17" s="2">
        <v>1125.707153</v>
      </c>
      <c r="G17" s="2" t="s">
        <v>56</v>
      </c>
      <c r="H17" s="2" t="s">
        <v>298</v>
      </c>
      <c r="I17" s="2">
        <v>45390.0</v>
      </c>
      <c r="J17" s="2">
        <v>1.0</v>
      </c>
      <c r="K17" s="2" t="s">
        <v>36</v>
      </c>
      <c r="L17" s="2" t="s">
        <v>56</v>
      </c>
      <c r="M17" s="2">
        <v>4.0</v>
      </c>
      <c r="N17" s="2">
        <v>10.0</v>
      </c>
      <c r="O17" s="2">
        <v>0.0</v>
      </c>
      <c r="P17" s="2">
        <v>90.0</v>
      </c>
      <c r="Q17" s="2">
        <v>0.0</v>
      </c>
      <c r="R17" s="2">
        <v>0.0</v>
      </c>
      <c r="S17" s="2">
        <v>0.0</v>
      </c>
      <c r="T17" s="2">
        <v>0.0</v>
      </c>
      <c r="U17" s="2">
        <v>0.0</v>
      </c>
      <c r="V17" s="2">
        <v>0.0</v>
      </c>
      <c r="W17" s="2">
        <v>100.0</v>
      </c>
      <c r="X17" s="2">
        <v>0.0</v>
      </c>
      <c r="Y17" s="2">
        <v>0.0</v>
      </c>
      <c r="Z17" s="2">
        <v>0.0</v>
      </c>
      <c r="AA17" s="2">
        <v>100.0</v>
      </c>
      <c r="AB17" s="2">
        <v>0.0</v>
      </c>
      <c r="AC17" s="2">
        <v>0.0</v>
      </c>
      <c r="AD17" s="2">
        <v>0.0</v>
      </c>
      <c r="AE17" s="2">
        <v>19.0</v>
      </c>
      <c r="AF17" s="2">
        <v>0.0</v>
      </c>
      <c r="AG17" s="2">
        <v>0.0</v>
      </c>
      <c r="AH17" s="2">
        <v>100.0</v>
      </c>
      <c r="AI17" s="2" t="s">
        <v>304</v>
      </c>
      <c r="AJ17" s="2" t="s">
        <v>306</v>
      </c>
      <c r="AK17" s="2">
        <v>0.275201702509659</v>
      </c>
      <c r="AL17" s="2">
        <v>3.90197962620798</v>
      </c>
      <c r="AM17" s="2" t="s">
        <v>55</v>
      </c>
      <c r="AN17" s="2">
        <v>1.518</v>
      </c>
      <c r="AO17" s="2" t="s">
        <v>36</v>
      </c>
      <c r="AP17" s="2">
        <v>0.00235849056603774</v>
      </c>
      <c r="AQ17" s="2">
        <v>0.997641509433962</v>
      </c>
      <c r="AR17" s="2">
        <v>0.10188679245283</v>
      </c>
      <c r="AS17" s="2">
        <v>4.0</v>
      </c>
    </row>
    <row r="18">
      <c r="A18" s="2">
        <v>3.0</v>
      </c>
      <c r="B18" s="2">
        <v>1125.101074</v>
      </c>
      <c r="C18" s="2">
        <v>20.0</v>
      </c>
      <c r="D18" s="2">
        <v>1532749.702</v>
      </c>
      <c r="E18" s="2">
        <v>5445342.224</v>
      </c>
      <c r="F18" s="2">
        <v>1125.101074</v>
      </c>
      <c r="G18" s="2" t="s">
        <v>56</v>
      </c>
      <c r="H18" s="2" t="s">
        <v>311</v>
      </c>
      <c r="I18" s="2">
        <v>45390.0</v>
      </c>
      <c r="J18" s="2">
        <v>2.0</v>
      </c>
      <c r="K18" s="2" t="s">
        <v>36</v>
      </c>
      <c r="L18" s="2" t="s">
        <v>56</v>
      </c>
      <c r="M18" s="2">
        <v>4.0</v>
      </c>
      <c r="N18" s="2">
        <v>50.0</v>
      </c>
      <c r="O18" s="2">
        <v>25.0</v>
      </c>
      <c r="P18" s="2">
        <v>25.0</v>
      </c>
      <c r="Q18" s="2">
        <v>0.0</v>
      </c>
      <c r="R18" s="2">
        <v>0.0</v>
      </c>
      <c r="S18" s="2">
        <v>0.0</v>
      </c>
      <c r="T18" s="2">
        <v>0.0</v>
      </c>
      <c r="U18" s="2">
        <v>0.0</v>
      </c>
      <c r="V18" s="2">
        <v>0.0</v>
      </c>
      <c r="W18" s="2">
        <v>100.0</v>
      </c>
      <c r="X18" s="2">
        <v>50.0</v>
      </c>
      <c r="Y18" s="2">
        <v>0.0</v>
      </c>
      <c r="Z18" s="2">
        <v>0.0</v>
      </c>
      <c r="AA18" s="2">
        <v>0.0</v>
      </c>
      <c r="AB18" s="2">
        <v>50.0</v>
      </c>
      <c r="AC18" s="2">
        <v>0.0</v>
      </c>
      <c r="AD18" s="2">
        <v>0.0</v>
      </c>
      <c r="AE18" s="2">
        <v>20.0</v>
      </c>
      <c r="AF18" s="2">
        <v>5.0</v>
      </c>
      <c r="AG18" s="2">
        <v>0.0</v>
      </c>
      <c r="AH18" s="2">
        <v>50.0</v>
      </c>
      <c r="AI18" s="2" t="s">
        <v>317</v>
      </c>
      <c r="AJ18" s="2" t="s">
        <v>319</v>
      </c>
      <c r="AK18" s="2">
        <v>3.37234173319989</v>
      </c>
      <c r="AL18" s="2">
        <v>3.17639622815921</v>
      </c>
      <c r="AM18" s="2" t="s">
        <v>55</v>
      </c>
      <c r="AN18" s="2">
        <v>1.518</v>
      </c>
      <c r="AO18" s="2" t="s">
        <v>36</v>
      </c>
      <c r="AP18" s="2">
        <v>0.00235849056603774</v>
      </c>
      <c r="AQ18" s="2">
        <v>0.5</v>
      </c>
      <c r="AR18" s="2">
        <v>0.5</v>
      </c>
      <c r="AS18" s="2">
        <v>4.0</v>
      </c>
    </row>
    <row r="19">
      <c r="A19" s="2">
        <v>3.0</v>
      </c>
      <c r="B19" s="2">
        <v>1124.761475</v>
      </c>
      <c r="C19" s="2">
        <v>21.0</v>
      </c>
      <c r="D19" s="2">
        <v>1532765.818</v>
      </c>
      <c r="E19" s="2">
        <v>5445341.596</v>
      </c>
      <c r="F19" s="2">
        <v>1124.761475</v>
      </c>
      <c r="G19" s="2" t="s">
        <v>56</v>
      </c>
      <c r="H19" s="2" t="s">
        <v>327</v>
      </c>
      <c r="I19" s="2">
        <v>45390.0</v>
      </c>
      <c r="J19" s="2">
        <v>3.0</v>
      </c>
      <c r="K19" s="2" t="s">
        <v>36</v>
      </c>
      <c r="L19" s="2" t="s">
        <v>56</v>
      </c>
      <c r="M19" s="2">
        <v>4.0</v>
      </c>
      <c r="N19" s="2">
        <v>80.0</v>
      </c>
      <c r="O19" s="2">
        <v>5.0</v>
      </c>
      <c r="P19" s="2">
        <v>15.0</v>
      </c>
      <c r="Q19" s="2">
        <v>0.0</v>
      </c>
      <c r="R19" s="2">
        <v>0.0</v>
      </c>
      <c r="S19" s="2">
        <v>0.0</v>
      </c>
      <c r="T19" s="2">
        <v>0.0</v>
      </c>
      <c r="U19" s="2">
        <v>0.0</v>
      </c>
      <c r="V19" s="2">
        <v>0.0</v>
      </c>
      <c r="W19" s="2">
        <v>100.0</v>
      </c>
      <c r="X19" s="2">
        <v>20.0</v>
      </c>
      <c r="Y19" s="2">
        <v>0.0</v>
      </c>
      <c r="Z19" s="2">
        <v>0.0</v>
      </c>
      <c r="AA19" s="2">
        <v>0.0</v>
      </c>
      <c r="AB19" s="2">
        <v>80.0</v>
      </c>
      <c r="AC19" s="2">
        <v>0.0</v>
      </c>
      <c r="AD19" s="2">
        <v>0.0</v>
      </c>
      <c r="AE19" s="2">
        <v>21.0</v>
      </c>
      <c r="AF19" s="2">
        <v>10.0</v>
      </c>
      <c r="AG19" s="2">
        <v>0.0</v>
      </c>
      <c r="AH19" s="2">
        <v>80.0</v>
      </c>
      <c r="AI19" s="2" t="s">
        <v>332</v>
      </c>
      <c r="AJ19" s="2" t="s">
        <v>333</v>
      </c>
      <c r="AK19" s="2">
        <v>2.14979428207751</v>
      </c>
      <c r="AL19" s="2">
        <v>5.77629119818179</v>
      </c>
      <c r="AM19" s="2" t="s">
        <v>55</v>
      </c>
      <c r="AN19" s="2">
        <v>1.518</v>
      </c>
      <c r="AO19" s="2" t="s">
        <v>36</v>
      </c>
      <c r="AP19" s="2">
        <v>0.00235849056603774</v>
      </c>
      <c r="AQ19" s="2">
        <v>0.798584905660377</v>
      </c>
      <c r="AR19" s="2">
        <v>0.798584905660377</v>
      </c>
      <c r="AS19" s="2">
        <v>4.0</v>
      </c>
    </row>
    <row r="20">
      <c r="A20" s="2">
        <v>3.0</v>
      </c>
      <c r="B20" s="2">
        <v>1125.285522</v>
      </c>
      <c r="C20" s="2">
        <v>22.0</v>
      </c>
      <c r="D20" s="2">
        <v>1532776.924</v>
      </c>
      <c r="E20" s="2">
        <v>5445346.988</v>
      </c>
      <c r="F20" s="2">
        <v>1125.285522</v>
      </c>
      <c r="G20" s="2" t="s">
        <v>56</v>
      </c>
      <c r="H20" s="2" t="s">
        <v>339</v>
      </c>
      <c r="I20" s="2">
        <v>45390.0</v>
      </c>
      <c r="J20" s="2">
        <v>4.0</v>
      </c>
      <c r="K20" s="2" t="s">
        <v>36</v>
      </c>
      <c r="L20" s="2" t="s">
        <v>56</v>
      </c>
      <c r="M20" s="2">
        <v>3.0</v>
      </c>
      <c r="N20" s="2">
        <v>0.0</v>
      </c>
      <c r="O20" s="2">
        <v>0.0</v>
      </c>
      <c r="P20" s="2">
        <v>95.0</v>
      </c>
      <c r="Q20" s="2">
        <v>0.0</v>
      </c>
      <c r="R20" s="2">
        <v>0.0</v>
      </c>
      <c r="S20" s="2">
        <v>0.0</v>
      </c>
      <c r="T20" s="2">
        <v>0.0</v>
      </c>
      <c r="U20" s="2">
        <v>5.0</v>
      </c>
      <c r="V20" s="2">
        <v>0.0</v>
      </c>
      <c r="W20" s="2">
        <v>100.0</v>
      </c>
      <c r="X20" s="2">
        <v>80.0</v>
      </c>
      <c r="Y20" s="2">
        <v>20.0</v>
      </c>
      <c r="Z20" s="2">
        <v>0.0</v>
      </c>
      <c r="AA20" s="2">
        <v>0.0</v>
      </c>
      <c r="AB20" s="2">
        <v>0.0</v>
      </c>
      <c r="AC20" s="2">
        <v>0.0</v>
      </c>
      <c r="AD20" s="2">
        <v>0.0</v>
      </c>
      <c r="AE20" s="2">
        <v>22.0</v>
      </c>
      <c r="AF20" s="2">
        <v>15.0</v>
      </c>
      <c r="AG20" s="2">
        <v>5.0</v>
      </c>
      <c r="AH20" s="2">
        <v>20.0</v>
      </c>
      <c r="AI20" s="2" t="s">
        <v>345</v>
      </c>
      <c r="AJ20" s="2" t="s">
        <v>346</v>
      </c>
      <c r="AK20" s="2">
        <v>2.93724131531506</v>
      </c>
      <c r="AL20" s="2">
        <v>7.52037771698109</v>
      </c>
      <c r="AM20" s="2" t="s">
        <v>55</v>
      </c>
      <c r="AN20" s="2">
        <v>1.518</v>
      </c>
      <c r="AO20" s="2" t="s">
        <v>36</v>
      </c>
      <c r="AP20" s="2">
        <v>0.052122641509434</v>
      </c>
      <c r="AQ20" s="2">
        <v>0.201415094339623</v>
      </c>
      <c r="AR20" s="2">
        <v>0.00235849056603774</v>
      </c>
      <c r="AS20" s="2">
        <v>3.0</v>
      </c>
    </row>
    <row r="21" ht="15.75" customHeight="1">
      <c r="A21" s="2">
        <v>3.0</v>
      </c>
      <c r="B21" s="2">
        <v>1125.983521</v>
      </c>
      <c r="C21" s="2">
        <v>23.0</v>
      </c>
      <c r="D21" s="2">
        <v>1532781.862</v>
      </c>
      <c r="E21" s="2">
        <v>5445343.412</v>
      </c>
      <c r="F21" s="2">
        <v>1125.983521</v>
      </c>
      <c r="G21" s="2" t="s">
        <v>56</v>
      </c>
      <c r="H21" s="2" t="s">
        <v>353</v>
      </c>
      <c r="I21" s="2">
        <v>45390.0</v>
      </c>
      <c r="J21" s="2">
        <v>5.0</v>
      </c>
      <c r="K21" s="2" t="s">
        <v>36</v>
      </c>
      <c r="L21" s="2" t="s">
        <v>56</v>
      </c>
      <c r="M21" s="2">
        <v>4.0</v>
      </c>
      <c r="N21" s="2">
        <v>0.0</v>
      </c>
      <c r="O21" s="2">
        <v>0.0</v>
      </c>
      <c r="P21" s="2">
        <v>60.0</v>
      </c>
      <c r="Q21" s="2">
        <v>0.0</v>
      </c>
      <c r="R21" s="2">
        <v>0.0</v>
      </c>
      <c r="S21" s="2">
        <v>10.0</v>
      </c>
      <c r="T21" s="2">
        <v>0.0</v>
      </c>
      <c r="U21" s="2">
        <v>30.0</v>
      </c>
      <c r="V21" s="2">
        <v>0.0</v>
      </c>
      <c r="W21" s="2">
        <v>100.0</v>
      </c>
      <c r="X21" s="2">
        <v>40.0</v>
      </c>
      <c r="Y21" s="2">
        <v>0.0</v>
      </c>
      <c r="Z21" s="2">
        <v>0.0</v>
      </c>
      <c r="AA21" s="2">
        <v>60.0</v>
      </c>
      <c r="AB21" s="2">
        <v>0.0</v>
      </c>
      <c r="AC21" s="2">
        <v>0.0</v>
      </c>
      <c r="AD21" s="2">
        <v>0.0</v>
      </c>
      <c r="AE21" s="2">
        <v>23.0</v>
      </c>
      <c r="AF21" s="2">
        <v>20.0</v>
      </c>
      <c r="AG21" s="2">
        <v>40.0</v>
      </c>
      <c r="AH21" s="2">
        <v>60.0</v>
      </c>
      <c r="AI21" s="2" t="s">
        <v>356</v>
      </c>
      <c r="AJ21" s="2" t="s">
        <v>357</v>
      </c>
      <c r="AK21" s="2">
        <v>4.07203515698302</v>
      </c>
      <c r="AL21" s="2">
        <v>13.1383262638436</v>
      </c>
      <c r="AM21" s="2" t="s">
        <v>55</v>
      </c>
      <c r="AN21" s="2">
        <v>1.518</v>
      </c>
      <c r="AO21" s="2" t="s">
        <v>36</v>
      </c>
      <c r="AP21" s="2">
        <v>0.400471698113208</v>
      </c>
      <c r="AQ21" s="2">
        <v>0.599528301886792</v>
      </c>
      <c r="AR21" s="2">
        <v>0.00235849056603774</v>
      </c>
      <c r="AS21" s="2">
        <v>4.0</v>
      </c>
    </row>
    <row r="22" ht="15.75" customHeight="1">
      <c r="A22" s="2">
        <v>3.0</v>
      </c>
      <c r="B22" s="2">
        <v>1126.328247</v>
      </c>
      <c r="C22" s="2">
        <v>24.0</v>
      </c>
      <c r="D22" s="2">
        <v>1532786.129</v>
      </c>
      <c r="E22" s="2">
        <v>5445340.284</v>
      </c>
      <c r="F22" s="2">
        <v>1126.328247</v>
      </c>
      <c r="G22" s="2" t="s">
        <v>56</v>
      </c>
      <c r="H22" s="2" t="s">
        <v>364</v>
      </c>
      <c r="I22" s="2">
        <v>45390.0</v>
      </c>
      <c r="J22" s="2">
        <v>6.0</v>
      </c>
      <c r="K22" s="2" t="s">
        <v>36</v>
      </c>
      <c r="L22" s="2" t="s">
        <v>56</v>
      </c>
      <c r="M22" s="2">
        <v>4.0</v>
      </c>
      <c r="N22" s="2">
        <v>10.0</v>
      </c>
      <c r="O22" s="2">
        <v>0.0</v>
      </c>
      <c r="P22" s="2">
        <v>80.0</v>
      </c>
      <c r="Q22" s="2">
        <v>0.0</v>
      </c>
      <c r="R22" s="2">
        <v>10.0</v>
      </c>
      <c r="S22" s="2">
        <v>0.0</v>
      </c>
      <c r="T22" s="2">
        <v>0.0</v>
      </c>
      <c r="U22" s="2">
        <v>0.0</v>
      </c>
      <c r="V22" s="2">
        <v>0.0</v>
      </c>
      <c r="W22" s="2">
        <v>100.0</v>
      </c>
      <c r="X22" s="2">
        <v>10.0</v>
      </c>
      <c r="Y22" s="2">
        <v>0.0</v>
      </c>
      <c r="Z22" s="2">
        <v>0.0</v>
      </c>
      <c r="AA22" s="2">
        <v>90.0</v>
      </c>
      <c r="AB22" s="2">
        <v>0.0</v>
      </c>
      <c r="AC22" s="2">
        <v>0.0</v>
      </c>
      <c r="AD22" s="2">
        <v>0.0</v>
      </c>
      <c r="AE22" s="2">
        <v>24.0</v>
      </c>
      <c r="AF22" s="2">
        <v>25.0</v>
      </c>
      <c r="AG22" s="2">
        <v>10.0</v>
      </c>
      <c r="AH22" s="2">
        <v>90.0</v>
      </c>
      <c r="AI22" s="2" t="s">
        <v>371</v>
      </c>
      <c r="AJ22" s="2" t="s">
        <v>373</v>
      </c>
      <c r="AK22" s="2">
        <v>6.44315585560446</v>
      </c>
      <c r="AL22" s="2">
        <v>18.2705016900908</v>
      </c>
      <c r="AM22" s="2" t="s">
        <v>55</v>
      </c>
      <c r="AN22" s="2">
        <v>1.518</v>
      </c>
      <c r="AO22" s="2" t="s">
        <v>36</v>
      </c>
      <c r="AP22" s="2">
        <v>0.10188679245283</v>
      </c>
      <c r="AQ22" s="2">
        <v>0.89811320754717</v>
      </c>
      <c r="AR22" s="2">
        <v>0.10188679245283</v>
      </c>
      <c r="AS22" s="2">
        <v>4.0</v>
      </c>
    </row>
    <row r="23" ht="15.75" customHeight="1">
      <c r="A23" s="2">
        <v>3.0</v>
      </c>
      <c r="B23" s="2">
        <v>1126.341187</v>
      </c>
      <c r="C23" s="2">
        <v>25.0</v>
      </c>
      <c r="D23" s="2">
        <v>1532790.487</v>
      </c>
      <c r="E23" s="2">
        <v>5445338.487</v>
      </c>
      <c r="F23" s="2">
        <v>1126.341187</v>
      </c>
      <c r="G23" s="2" t="s">
        <v>56</v>
      </c>
      <c r="H23" s="2" t="s">
        <v>377</v>
      </c>
      <c r="I23" s="2">
        <v>45390.0</v>
      </c>
      <c r="J23" s="2">
        <v>7.0</v>
      </c>
      <c r="K23" s="2" t="s">
        <v>36</v>
      </c>
      <c r="L23" s="2" t="s">
        <v>56</v>
      </c>
      <c r="M23" s="2">
        <v>4.0</v>
      </c>
      <c r="N23" s="2">
        <v>50.0</v>
      </c>
      <c r="O23" s="2">
        <v>0.0</v>
      </c>
      <c r="P23" s="2">
        <v>50.0</v>
      </c>
      <c r="Q23" s="2">
        <v>0.0</v>
      </c>
      <c r="R23" s="2">
        <v>0.0</v>
      </c>
      <c r="S23" s="2">
        <v>0.0</v>
      </c>
      <c r="T23" s="2">
        <v>0.0</v>
      </c>
      <c r="U23" s="2">
        <v>0.0</v>
      </c>
      <c r="V23" s="2">
        <v>0.0</v>
      </c>
      <c r="W23" s="2">
        <v>100.0</v>
      </c>
      <c r="X23" s="2">
        <v>0.0</v>
      </c>
      <c r="Y23" s="2">
        <v>0.0</v>
      </c>
      <c r="Z23" s="2">
        <v>0.0</v>
      </c>
      <c r="AA23" s="2">
        <v>100.0</v>
      </c>
      <c r="AB23" s="2">
        <v>0.0</v>
      </c>
      <c r="AC23" s="2">
        <v>0.0</v>
      </c>
      <c r="AD23" s="2">
        <v>0.0</v>
      </c>
      <c r="AE23" s="2">
        <v>25.0</v>
      </c>
      <c r="AF23" s="2">
        <v>30.0</v>
      </c>
      <c r="AG23" s="2">
        <v>0.0</v>
      </c>
      <c r="AH23" s="2">
        <v>100.0</v>
      </c>
      <c r="AI23" s="2" t="s">
        <v>379</v>
      </c>
      <c r="AJ23" s="2" t="s">
        <v>381</v>
      </c>
      <c r="AK23" s="2">
        <v>9.05694554826493</v>
      </c>
      <c r="AL23" s="2">
        <v>22.6103011261824</v>
      </c>
      <c r="AM23" s="2" t="s">
        <v>55</v>
      </c>
      <c r="AN23" s="2">
        <v>1.518</v>
      </c>
      <c r="AO23" s="2" t="s">
        <v>36</v>
      </c>
      <c r="AP23" s="2">
        <v>0.00235849056603774</v>
      </c>
      <c r="AQ23" s="2">
        <v>0.997641509433962</v>
      </c>
      <c r="AR23" s="2">
        <v>0.5</v>
      </c>
      <c r="AS23" s="2">
        <v>4.0</v>
      </c>
    </row>
    <row r="24" ht="15.75" customHeight="1">
      <c r="A24" s="2">
        <v>3.0</v>
      </c>
      <c r="B24" s="2">
        <v>1128.324707</v>
      </c>
      <c r="C24" s="2">
        <v>26.0</v>
      </c>
      <c r="D24" s="2">
        <v>1532796.845</v>
      </c>
      <c r="E24" s="2">
        <v>5445333.461</v>
      </c>
      <c r="F24" s="2">
        <v>1128.324707</v>
      </c>
      <c r="G24" s="2" t="s">
        <v>56</v>
      </c>
      <c r="H24" s="2" t="s">
        <v>398</v>
      </c>
      <c r="I24" s="2">
        <v>45390.0</v>
      </c>
      <c r="J24" s="2">
        <v>8.0</v>
      </c>
      <c r="K24" s="2" t="s">
        <v>36</v>
      </c>
      <c r="L24" s="2" t="s">
        <v>56</v>
      </c>
      <c r="M24" s="2">
        <v>2.0</v>
      </c>
      <c r="N24" s="2">
        <v>0.0</v>
      </c>
      <c r="O24" s="2">
        <v>0.0</v>
      </c>
      <c r="P24" s="2">
        <v>80.0</v>
      </c>
      <c r="Q24" s="2">
        <v>20.0</v>
      </c>
      <c r="R24" s="2">
        <v>0.0</v>
      </c>
      <c r="S24" s="2">
        <v>0.0</v>
      </c>
      <c r="T24" s="2">
        <v>0.0</v>
      </c>
      <c r="U24" s="2">
        <v>0.0</v>
      </c>
      <c r="V24" s="2">
        <v>0.0</v>
      </c>
      <c r="W24" s="2">
        <v>100.0</v>
      </c>
      <c r="X24" s="2">
        <v>60.0</v>
      </c>
      <c r="Y24" s="2">
        <v>0.0</v>
      </c>
      <c r="Z24" s="2">
        <v>40.0</v>
      </c>
      <c r="AA24" s="2">
        <v>0.0</v>
      </c>
      <c r="AB24" s="2">
        <v>0.0</v>
      </c>
      <c r="AC24" s="2">
        <v>0.0</v>
      </c>
      <c r="AD24" s="2">
        <v>0.0</v>
      </c>
      <c r="AE24" s="2">
        <v>26.0</v>
      </c>
      <c r="AF24" s="2">
        <v>35.0</v>
      </c>
      <c r="AG24" s="2">
        <v>0.0</v>
      </c>
      <c r="AH24" s="2">
        <v>40.0</v>
      </c>
      <c r="AI24" s="2" t="s">
        <v>399</v>
      </c>
      <c r="AJ24" s="2" t="s">
        <v>400</v>
      </c>
      <c r="AK24" s="2">
        <v>15.6719227062926</v>
      </c>
      <c r="AL24" s="2">
        <v>30.695636058018</v>
      </c>
      <c r="AM24" s="2" t="s">
        <v>55</v>
      </c>
      <c r="AN24" s="2">
        <v>1.518</v>
      </c>
      <c r="AO24" s="2" t="s">
        <v>36</v>
      </c>
      <c r="AP24" s="2">
        <v>0.00235849056603774</v>
      </c>
      <c r="AQ24" s="2">
        <v>0.400471698113208</v>
      </c>
      <c r="AR24" s="2">
        <v>0.00235849056603774</v>
      </c>
      <c r="AS24" s="2">
        <v>2.0</v>
      </c>
    </row>
    <row r="25" ht="15.75" customHeight="1">
      <c r="A25" s="2">
        <v>3.0</v>
      </c>
      <c r="B25" s="2">
        <v>1128.662842</v>
      </c>
      <c r="C25" s="2">
        <v>27.0</v>
      </c>
      <c r="D25" s="2">
        <v>1532795.66</v>
      </c>
      <c r="E25" s="2">
        <v>5445331.356</v>
      </c>
      <c r="F25" s="2">
        <v>1128.662842</v>
      </c>
      <c r="G25" s="2" t="s">
        <v>56</v>
      </c>
      <c r="H25" s="2" t="s">
        <v>403</v>
      </c>
      <c r="I25" s="2">
        <v>45390.0</v>
      </c>
      <c r="J25" s="2">
        <v>9.0</v>
      </c>
      <c r="K25" s="2" t="s">
        <v>36</v>
      </c>
      <c r="L25" s="2" t="s">
        <v>56</v>
      </c>
      <c r="M25" s="2">
        <v>2.0</v>
      </c>
      <c r="N25" s="2">
        <v>0.0</v>
      </c>
      <c r="O25" s="2">
        <v>5.0</v>
      </c>
      <c r="P25" s="2">
        <v>55.0</v>
      </c>
      <c r="Q25" s="2">
        <v>0.0</v>
      </c>
      <c r="R25" s="2">
        <v>0.0</v>
      </c>
      <c r="S25" s="2">
        <v>0.0</v>
      </c>
      <c r="T25" s="2">
        <v>0.0</v>
      </c>
      <c r="U25" s="2">
        <v>40.0</v>
      </c>
      <c r="V25" s="2">
        <v>0.0</v>
      </c>
      <c r="W25" s="2">
        <v>100.0</v>
      </c>
      <c r="X25" s="2">
        <v>80.0</v>
      </c>
      <c r="Y25" s="2">
        <v>0.0</v>
      </c>
      <c r="Z25" s="2">
        <v>0.0</v>
      </c>
      <c r="AA25" s="2">
        <v>20.0</v>
      </c>
      <c r="AB25" s="2">
        <v>0.0</v>
      </c>
      <c r="AC25" s="2">
        <v>0.0</v>
      </c>
      <c r="AD25" s="2">
        <v>0.0</v>
      </c>
      <c r="AE25" s="2">
        <v>27.0</v>
      </c>
      <c r="AF25" s="2">
        <v>40.0</v>
      </c>
      <c r="AG25" s="2">
        <v>40.0</v>
      </c>
      <c r="AH25" s="2">
        <v>20.0</v>
      </c>
      <c r="AI25" s="2" t="s">
        <v>405</v>
      </c>
      <c r="AJ25" s="2" t="s">
        <v>407</v>
      </c>
      <c r="AK25" s="2">
        <v>17.3236502370119</v>
      </c>
      <c r="AL25" s="2">
        <v>31.3010152075709</v>
      </c>
      <c r="AM25" s="2" t="s">
        <v>55</v>
      </c>
      <c r="AN25" s="2">
        <v>1.518</v>
      </c>
      <c r="AO25" s="2" t="s">
        <v>36</v>
      </c>
      <c r="AP25" s="2">
        <v>0.400471698113208</v>
      </c>
      <c r="AQ25" s="2">
        <v>0.201415094339623</v>
      </c>
      <c r="AR25" s="2">
        <v>0.00235849056603774</v>
      </c>
      <c r="AS25" s="2">
        <v>2.0</v>
      </c>
    </row>
    <row r="26" ht="15.75" customHeight="1">
      <c r="A26" s="2">
        <v>3.0</v>
      </c>
      <c r="B26" s="2">
        <v>1128.51355</v>
      </c>
      <c r="C26" s="2">
        <v>28.0</v>
      </c>
      <c r="D26" s="2">
        <v>1532800.088</v>
      </c>
      <c r="E26" s="2">
        <v>5445326.561</v>
      </c>
      <c r="F26" s="2">
        <v>1128.51355</v>
      </c>
      <c r="G26" s="2" t="s">
        <v>56</v>
      </c>
      <c r="H26" s="2" t="s">
        <v>410</v>
      </c>
      <c r="I26" s="2">
        <v>45390.0</v>
      </c>
      <c r="J26" s="2">
        <v>10.0</v>
      </c>
      <c r="K26" s="2" t="s">
        <v>36</v>
      </c>
      <c r="L26" s="2" t="s">
        <v>56</v>
      </c>
      <c r="M26" s="2">
        <v>1.0</v>
      </c>
      <c r="N26" s="2">
        <v>0.0</v>
      </c>
      <c r="O26" s="2">
        <v>0.0</v>
      </c>
      <c r="P26" s="2">
        <v>50.0</v>
      </c>
      <c r="Q26" s="2">
        <v>0.0</v>
      </c>
      <c r="R26" s="2">
        <v>50.0</v>
      </c>
      <c r="S26" s="2">
        <v>0.0</v>
      </c>
      <c r="T26" s="2">
        <v>0.0</v>
      </c>
      <c r="U26" s="2">
        <v>0.0</v>
      </c>
      <c r="V26" s="2">
        <v>0.0</v>
      </c>
      <c r="W26" s="2">
        <v>100.0</v>
      </c>
      <c r="X26" s="2">
        <v>100.0</v>
      </c>
      <c r="Y26" s="2">
        <v>0.0</v>
      </c>
      <c r="Z26" s="2">
        <v>0.0</v>
      </c>
      <c r="AA26" s="2">
        <v>0.0</v>
      </c>
      <c r="AB26" s="2">
        <v>0.0</v>
      </c>
      <c r="AC26" s="2">
        <v>0.0</v>
      </c>
      <c r="AD26" s="2">
        <v>0.0</v>
      </c>
      <c r="AE26" s="2">
        <v>28.0</v>
      </c>
      <c r="AF26" s="2">
        <v>45.0</v>
      </c>
      <c r="AG26" s="2">
        <v>50.0</v>
      </c>
      <c r="AH26" s="2">
        <v>0.0</v>
      </c>
      <c r="AI26" s="2" t="s">
        <v>411</v>
      </c>
      <c r="AJ26" s="2" t="s">
        <v>412</v>
      </c>
      <c r="AK26" s="2">
        <v>23.2786018094956</v>
      </c>
      <c r="AL26" s="2">
        <v>37.8265641319636</v>
      </c>
      <c r="AM26" s="2" t="s">
        <v>55</v>
      </c>
      <c r="AN26" s="2">
        <v>1.518</v>
      </c>
      <c r="AO26" s="2" t="s">
        <v>36</v>
      </c>
      <c r="AP26" s="2">
        <v>0.5</v>
      </c>
      <c r="AQ26" s="2">
        <v>0.00235849056603774</v>
      </c>
      <c r="AR26" s="2">
        <v>0.00235849056603774</v>
      </c>
      <c r="AS26" s="2">
        <v>1.0</v>
      </c>
    </row>
    <row r="27" ht="15.75" customHeight="1">
      <c r="A27" s="2">
        <v>4.0</v>
      </c>
      <c r="B27" s="2">
        <v>1480.03894</v>
      </c>
      <c r="C27" s="2">
        <v>29.0</v>
      </c>
      <c r="D27" s="2">
        <v>1531705.896</v>
      </c>
      <c r="E27" s="2">
        <v>5444450.244</v>
      </c>
      <c r="F27" s="2">
        <v>1480.03894</v>
      </c>
      <c r="G27" s="2" t="s">
        <v>45</v>
      </c>
      <c r="H27" s="2" t="s">
        <v>415</v>
      </c>
      <c r="I27" s="2">
        <v>45390.0</v>
      </c>
      <c r="J27" s="2">
        <v>1.0</v>
      </c>
      <c r="K27" s="2" t="s">
        <v>31</v>
      </c>
      <c r="L27" s="2" t="s">
        <v>45</v>
      </c>
      <c r="M27" s="2">
        <v>4.0</v>
      </c>
      <c r="N27" s="2">
        <v>90.0</v>
      </c>
      <c r="O27" s="2">
        <v>10.0</v>
      </c>
      <c r="P27" s="2">
        <v>0.0</v>
      </c>
      <c r="Q27" s="2">
        <v>0.0</v>
      </c>
      <c r="R27" s="2">
        <v>0.0</v>
      </c>
      <c r="S27" s="2">
        <v>0.0</v>
      </c>
      <c r="T27" s="2">
        <v>0.0</v>
      </c>
      <c r="U27" s="2">
        <v>0.0</v>
      </c>
      <c r="V27" s="2">
        <v>0.0</v>
      </c>
      <c r="W27" s="2">
        <v>100.0</v>
      </c>
      <c r="X27" s="2">
        <v>0.0</v>
      </c>
      <c r="Y27" s="2">
        <v>0.0</v>
      </c>
      <c r="Z27" s="2">
        <v>0.0</v>
      </c>
      <c r="AA27" s="2">
        <v>100.0</v>
      </c>
      <c r="AB27" s="2">
        <v>0.0</v>
      </c>
      <c r="AC27" s="2">
        <v>0.0</v>
      </c>
      <c r="AD27" s="2">
        <v>0.0</v>
      </c>
      <c r="AE27" s="2">
        <v>29.0</v>
      </c>
      <c r="AF27" s="2">
        <v>0.0</v>
      </c>
      <c r="AG27" s="2">
        <v>0.0</v>
      </c>
      <c r="AH27" s="2">
        <v>100.0</v>
      </c>
      <c r="AI27" s="2" t="s">
        <v>418</v>
      </c>
      <c r="AJ27" s="2" t="s">
        <v>419</v>
      </c>
      <c r="AK27" s="2">
        <v>13.1936098731185</v>
      </c>
      <c r="AL27" s="2">
        <v>12.9629586515561</v>
      </c>
      <c r="AM27" s="2" t="s">
        <v>74</v>
      </c>
      <c r="AN27" s="2">
        <v>2.266</v>
      </c>
      <c r="AO27" s="2" t="s">
        <v>31</v>
      </c>
      <c r="AP27" s="2">
        <v>0.00235849056603774</v>
      </c>
      <c r="AQ27" s="2">
        <v>0.997641509433962</v>
      </c>
      <c r="AR27" s="2">
        <v>0.89811320754717</v>
      </c>
      <c r="AS27" s="2">
        <v>4.0</v>
      </c>
    </row>
    <row r="28" ht="15.75" customHeight="1">
      <c r="A28" s="2">
        <v>4.0</v>
      </c>
      <c r="B28" s="2">
        <v>1482.033325</v>
      </c>
      <c r="C28" s="2">
        <v>30.0</v>
      </c>
      <c r="D28" s="2">
        <v>1531701.962</v>
      </c>
      <c r="E28" s="2">
        <v>5444452.816</v>
      </c>
      <c r="F28" s="2">
        <v>1482.033325</v>
      </c>
      <c r="G28" s="2" t="s">
        <v>45</v>
      </c>
      <c r="H28" s="2" t="s">
        <v>422</v>
      </c>
      <c r="I28" s="2">
        <v>45390.0</v>
      </c>
      <c r="J28" s="2">
        <v>2.0</v>
      </c>
      <c r="K28" s="2" t="s">
        <v>31</v>
      </c>
      <c r="L28" s="2" t="s">
        <v>45</v>
      </c>
      <c r="M28" s="2">
        <v>4.0</v>
      </c>
      <c r="N28" s="2">
        <v>70.0</v>
      </c>
      <c r="O28" s="2">
        <v>10.0</v>
      </c>
      <c r="P28" s="2">
        <v>0.0</v>
      </c>
      <c r="Q28" s="2">
        <v>20.0</v>
      </c>
      <c r="R28" s="2">
        <v>0.0</v>
      </c>
      <c r="S28" s="2">
        <v>0.0</v>
      </c>
      <c r="T28" s="2">
        <v>0.0</v>
      </c>
      <c r="U28" s="2">
        <v>0.0</v>
      </c>
      <c r="V28" s="2">
        <v>0.0</v>
      </c>
      <c r="W28" s="2">
        <v>100.0</v>
      </c>
      <c r="X28" s="2">
        <v>20.0</v>
      </c>
      <c r="Y28" s="2">
        <v>0.0</v>
      </c>
      <c r="Z28" s="2">
        <v>0.0</v>
      </c>
      <c r="AA28" s="2">
        <v>80.0</v>
      </c>
      <c r="AB28" s="2">
        <v>0.0</v>
      </c>
      <c r="AC28" s="2">
        <v>0.0</v>
      </c>
      <c r="AD28" s="2">
        <v>0.0</v>
      </c>
      <c r="AE28" s="2">
        <v>30.0</v>
      </c>
      <c r="AF28" s="2">
        <v>5.0</v>
      </c>
      <c r="AG28" s="2">
        <v>0.0</v>
      </c>
      <c r="AH28" s="2">
        <v>80.0</v>
      </c>
      <c r="AI28" s="2" t="s">
        <v>426</v>
      </c>
      <c r="AJ28" s="2" t="s">
        <v>427</v>
      </c>
      <c r="AK28" s="2">
        <v>9.52646816772094</v>
      </c>
      <c r="AL28" s="2">
        <v>10.4042962761514</v>
      </c>
      <c r="AM28" s="2" t="s">
        <v>74</v>
      </c>
      <c r="AN28" s="2">
        <v>2.266</v>
      </c>
      <c r="AO28" s="2" t="s">
        <v>31</v>
      </c>
      <c r="AP28" s="2">
        <v>0.00235849056603774</v>
      </c>
      <c r="AQ28" s="2">
        <v>0.798584905660377</v>
      </c>
      <c r="AR28" s="2">
        <v>0.699056603773585</v>
      </c>
      <c r="AS28" s="2">
        <v>4.0</v>
      </c>
    </row>
    <row r="29" ht="15.75" customHeight="1">
      <c r="A29" s="2">
        <v>4.0</v>
      </c>
      <c r="B29" s="2">
        <v>1479.617065</v>
      </c>
      <c r="C29" s="2">
        <v>31.0</v>
      </c>
      <c r="D29" s="2">
        <v>1531695.358</v>
      </c>
      <c r="E29" s="2">
        <v>5444459.175</v>
      </c>
      <c r="F29" s="2">
        <v>1479.617065</v>
      </c>
      <c r="G29" s="2" t="s">
        <v>45</v>
      </c>
      <c r="H29" s="2" t="s">
        <v>428</v>
      </c>
      <c r="I29" s="2">
        <v>45390.0</v>
      </c>
      <c r="J29" s="2">
        <v>3.0</v>
      </c>
      <c r="K29" s="2" t="s">
        <v>31</v>
      </c>
      <c r="L29" s="2" t="s">
        <v>45</v>
      </c>
      <c r="M29" s="2">
        <v>3.0</v>
      </c>
      <c r="N29" s="2">
        <v>15.0</v>
      </c>
      <c r="O29" s="2">
        <v>70.0</v>
      </c>
      <c r="P29" s="2">
        <v>0.0</v>
      </c>
      <c r="Q29" s="2">
        <v>0.0</v>
      </c>
      <c r="R29" s="2">
        <v>0.0</v>
      </c>
      <c r="S29" s="2">
        <v>10.0</v>
      </c>
      <c r="T29" s="2">
        <v>5.0</v>
      </c>
      <c r="U29" s="2">
        <v>0.0</v>
      </c>
      <c r="V29" s="2">
        <v>0.0</v>
      </c>
      <c r="W29" s="2">
        <v>100.0</v>
      </c>
      <c r="X29" s="2">
        <v>80.0</v>
      </c>
      <c r="Y29" s="2">
        <v>0.0</v>
      </c>
      <c r="Z29" s="2">
        <v>0.0</v>
      </c>
      <c r="AA29" s="2">
        <v>20.0</v>
      </c>
      <c r="AB29" s="2">
        <v>0.0</v>
      </c>
      <c r="AC29" s="2">
        <v>0.0</v>
      </c>
      <c r="AD29" s="2">
        <v>0.0</v>
      </c>
      <c r="AE29" s="2">
        <v>31.0</v>
      </c>
      <c r="AF29" s="2">
        <v>10.0</v>
      </c>
      <c r="AG29" s="2">
        <v>15.0</v>
      </c>
      <c r="AH29" s="2">
        <v>20.0</v>
      </c>
      <c r="AI29" s="2" t="s">
        <v>431</v>
      </c>
      <c r="AJ29" s="2" t="s">
        <v>432</v>
      </c>
      <c r="AK29" s="2">
        <v>2.60713939921962</v>
      </c>
      <c r="AL29" s="2">
        <v>12.3638196365344</v>
      </c>
      <c r="AM29" s="2" t="s">
        <v>74</v>
      </c>
      <c r="AN29" s="2">
        <v>2.266</v>
      </c>
      <c r="AO29" s="2" t="s">
        <v>31</v>
      </c>
      <c r="AP29" s="2">
        <v>0.151650943396226</v>
      </c>
      <c r="AQ29" s="2">
        <v>0.201415094339623</v>
      </c>
      <c r="AR29" s="2">
        <v>0.151650943396226</v>
      </c>
      <c r="AS29" s="2">
        <v>3.0</v>
      </c>
    </row>
    <row r="30" ht="15.75" customHeight="1">
      <c r="A30" s="2">
        <v>4.0</v>
      </c>
      <c r="B30" s="2">
        <v>1481.293213</v>
      </c>
      <c r="C30" s="2">
        <v>32.0</v>
      </c>
      <c r="D30" s="2">
        <v>1531686.283</v>
      </c>
      <c r="E30" s="2">
        <v>5444457.104</v>
      </c>
      <c r="F30" s="2">
        <v>1481.293213</v>
      </c>
      <c r="G30" s="2" t="s">
        <v>45</v>
      </c>
      <c r="H30" s="2" t="s">
        <v>433</v>
      </c>
      <c r="I30" s="2">
        <v>45390.0</v>
      </c>
      <c r="J30" s="2">
        <v>4.0</v>
      </c>
      <c r="K30" s="2" t="s">
        <v>31</v>
      </c>
      <c r="L30" s="2" t="s">
        <v>45</v>
      </c>
      <c r="M30" s="2">
        <v>4.0</v>
      </c>
      <c r="N30" s="2">
        <v>70.0</v>
      </c>
      <c r="O30" s="2">
        <v>10.0</v>
      </c>
      <c r="P30" s="2">
        <v>0.0</v>
      </c>
      <c r="Q30" s="2">
        <v>0.0</v>
      </c>
      <c r="R30" s="2">
        <v>0.0</v>
      </c>
      <c r="S30" s="2">
        <v>10.0</v>
      </c>
      <c r="T30" s="2">
        <v>0.0</v>
      </c>
      <c r="U30" s="2">
        <v>10.0</v>
      </c>
      <c r="V30" s="2">
        <v>0.0</v>
      </c>
      <c r="W30" s="2">
        <v>100.0</v>
      </c>
      <c r="X30" s="2">
        <v>10.0</v>
      </c>
      <c r="Y30" s="2">
        <v>0.0</v>
      </c>
      <c r="Z30" s="2">
        <v>0.0</v>
      </c>
      <c r="AA30" s="2">
        <v>90.0</v>
      </c>
      <c r="AB30" s="2">
        <v>0.0</v>
      </c>
      <c r="AC30" s="2">
        <v>0.0</v>
      </c>
      <c r="AD30" s="2">
        <v>0.0</v>
      </c>
      <c r="AE30" s="2">
        <v>32.0</v>
      </c>
      <c r="AF30" s="2">
        <v>15.0</v>
      </c>
      <c r="AG30" s="2">
        <v>20.0</v>
      </c>
      <c r="AH30" s="2">
        <v>90.0</v>
      </c>
      <c r="AI30" s="2" t="s">
        <v>435</v>
      </c>
      <c r="AJ30" s="2" t="s">
        <v>436</v>
      </c>
      <c r="AK30" s="2">
        <v>4.71734238290617</v>
      </c>
      <c r="AL30" s="2">
        <v>8.59956557058896</v>
      </c>
      <c r="AM30" s="2" t="s">
        <v>74</v>
      </c>
      <c r="AN30" s="2">
        <v>2.266</v>
      </c>
      <c r="AO30" s="2" t="s">
        <v>31</v>
      </c>
      <c r="AP30" s="2">
        <v>0.201415094339623</v>
      </c>
      <c r="AQ30" s="2">
        <v>0.89811320754717</v>
      </c>
      <c r="AR30" s="2">
        <v>0.699056603773585</v>
      </c>
      <c r="AS30" s="2">
        <v>4.0</v>
      </c>
    </row>
    <row r="31" ht="15.75" customHeight="1">
      <c r="A31" s="2">
        <v>4.0</v>
      </c>
      <c r="B31" s="2">
        <v>1481.003418</v>
      </c>
      <c r="C31" s="2">
        <v>33.0</v>
      </c>
      <c r="D31" s="2">
        <v>1531677.39</v>
      </c>
      <c r="E31" s="2">
        <v>5444458.142</v>
      </c>
      <c r="F31" s="2">
        <v>1481.003418</v>
      </c>
      <c r="G31" s="2" t="s">
        <v>45</v>
      </c>
      <c r="H31" s="2" t="s">
        <v>439</v>
      </c>
      <c r="I31" s="2">
        <v>45390.0</v>
      </c>
      <c r="J31" s="2">
        <v>5.0</v>
      </c>
      <c r="K31" s="2" t="s">
        <v>31</v>
      </c>
      <c r="L31" s="2" t="s">
        <v>45</v>
      </c>
      <c r="M31" s="2">
        <v>4.0</v>
      </c>
      <c r="N31" s="2">
        <v>80.0</v>
      </c>
      <c r="O31" s="2">
        <v>20.0</v>
      </c>
      <c r="P31" s="2">
        <v>0.0</v>
      </c>
      <c r="Q31" s="2">
        <v>0.0</v>
      </c>
      <c r="R31" s="2">
        <v>0.0</v>
      </c>
      <c r="S31" s="2">
        <v>0.0</v>
      </c>
      <c r="T31" s="2">
        <v>0.0</v>
      </c>
      <c r="U31" s="2">
        <v>0.0</v>
      </c>
      <c r="V31" s="2">
        <v>0.0</v>
      </c>
      <c r="W31" s="2">
        <v>100.0</v>
      </c>
      <c r="X31" s="2">
        <v>40.0</v>
      </c>
      <c r="Y31" s="2">
        <v>0.0</v>
      </c>
      <c r="Z31" s="2">
        <v>0.0</v>
      </c>
      <c r="AA31" s="2">
        <v>0.0</v>
      </c>
      <c r="AB31" s="2">
        <v>0.0</v>
      </c>
      <c r="AC31" s="2">
        <v>60.0</v>
      </c>
      <c r="AD31" s="2">
        <v>0.0</v>
      </c>
      <c r="AE31" s="2">
        <v>33.0</v>
      </c>
      <c r="AF31" s="2">
        <v>20.0</v>
      </c>
      <c r="AG31" s="2">
        <v>0.0</v>
      </c>
      <c r="AH31" s="2">
        <v>60.0</v>
      </c>
      <c r="AI31" s="2" t="s">
        <v>445</v>
      </c>
      <c r="AJ31" s="2" t="s">
        <v>446</v>
      </c>
      <c r="AK31" s="2">
        <v>1.85602363801148</v>
      </c>
      <c r="AL31" s="2">
        <v>0.474911570439001</v>
      </c>
      <c r="AM31" s="2" t="s">
        <v>74</v>
      </c>
      <c r="AN31" s="2">
        <v>2.266</v>
      </c>
      <c r="AO31" s="2" t="s">
        <v>31</v>
      </c>
      <c r="AP31" s="2">
        <v>0.00235849056603774</v>
      </c>
      <c r="AQ31" s="2">
        <v>0.599528301886792</v>
      </c>
      <c r="AR31" s="2">
        <v>0.798584905660377</v>
      </c>
      <c r="AS31" s="2">
        <v>4.0</v>
      </c>
    </row>
    <row r="32" ht="15.75" customHeight="1">
      <c r="A32" s="2">
        <v>4.0</v>
      </c>
      <c r="B32" s="2">
        <v>1481.282715</v>
      </c>
      <c r="C32" s="2">
        <v>34.0</v>
      </c>
      <c r="D32" s="2">
        <v>1531675.059</v>
      </c>
      <c r="E32" s="2">
        <v>5444462.706</v>
      </c>
      <c r="F32" s="2">
        <v>1481.282715</v>
      </c>
      <c r="G32" s="2" t="s">
        <v>45</v>
      </c>
      <c r="H32" s="2" t="s">
        <v>453</v>
      </c>
      <c r="I32" s="2">
        <v>45390.0</v>
      </c>
      <c r="J32" s="2">
        <v>6.0</v>
      </c>
      <c r="K32" s="2" t="s">
        <v>31</v>
      </c>
      <c r="L32" s="2" t="s">
        <v>45</v>
      </c>
      <c r="M32" s="2">
        <v>3.0</v>
      </c>
      <c r="N32" s="2">
        <v>55.0</v>
      </c>
      <c r="O32" s="2">
        <v>25.0</v>
      </c>
      <c r="P32" s="2">
        <v>0.0</v>
      </c>
      <c r="Q32" s="2">
        <v>0.0</v>
      </c>
      <c r="R32" s="2">
        <v>0.0</v>
      </c>
      <c r="S32" s="2">
        <v>10.0</v>
      </c>
      <c r="T32" s="2">
        <v>0.0</v>
      </c>
      <c r="U32" s="2">
        <v>10.0</v>
      </c>
      <c r="V32" s="2">
        <v>0.0</v>
      </c>
      <c r="W32" s="2">
        <v>100.0</v>
      </c>
      <c r="X32" s="2">
        <v>70.0</v>
      </c>
      <c r="Y32" s="2">
        <v>0.0</v>
      </c>
      <c r="Z32" s="2">
        <v>0.0</v>
      </c>
      <c r="AA32" s="2">
        <v>30.0</v>
      </c>
      <c r="AB32" s="2">
        <v>0.0</v>
      </c>
      <c r="AC32" s="2">
        <v>0.0</v>
      </c>
      <c r="AD32" s="2">
        <v>0.0</v>
      </c>
      <c r="AE32" s="2">
        <v>34.0</v>
      </c>
      <c r="AF32" s="2">
        <v>25.0</v>
      </c>
      <c r="AG32" s="2">
        <v>20.0</v>
      </c>
      <c r="AH32" s="2">
        <v>30.0</v>
      </c>
      <c r="AI32" s="2" t="s">
        <v>458</v>
      </c>
      <c r="AJ32" s="2" t="s">
        <v>460</v>
      </c>
      <c r="AK32" s="2">
        <v>2.28744631676255</v>
      </c>
      <c r="AL32" s="2">
        <v>5.5839502145672</v>
      </c>
      <c r="AM32" s="2" t="s">
        <v>74</v>
      </c>
      <c r="AN32" s="2">
        <v>2.266</v>
      </c>
      <c r="AO32" s="2" t="s">
        <v>31</v>
      </c>
      <c r="AP32" s="2">
        <v>0.201415094339623</v>
      </c>
      <c r="AQ32" s="2">
        <v>0.300943396226415</v>
      </c>
      <c r="AR32" s="2">
        <v>0.549764150943396</v>
      </c>
      <c r="AS32" s="2">
        <v>3.0</v>
      </c>
    </row>
    <row r="33" ht="15.75" customHeight="1">
      <c r="A33" s="2">
        <v>4.0</v>
      </c>
      <c r="B33" s="2">
        <v>1481.010864</v>
      </c>
      <c r="C33" s="2">
        <v>35.0</v>
      </c>
      <c r="D33" s="2">
        <v>1531660.452</v>
      </c>
      <c r="E33" s="2">
        <v>5444462.547</v>
      </c>
      <c r="F33" s="2">
        <v>1481.010864</v>
      </c>
      <c r="G33" s="2" t="s">
        <v>45</v>
      </c>
      <c r="H33" s="2" t="s">
        <v>462</v>
      </c>
      <c r="I33" s="2">
        <v>45390.0</v>
      </c>
      <c r="J33" s="2">
        <v>7.0</v>
      </c>
      <c r="K33" s="2" t="s">
        <v>31</v>
      </c>
      <c r="L33" s="2" t="s">
        <v>45</v>
      </c>
      <c r="M33" s="2">
        <v>4.0</v>
      </c>
      <c r="N33" s="2">
        <v>40.0</v>
      </c>
      <c r="O33" s="2">
        <v>60.0</v>
      </c>
      <c r="P33" s="2">
        <v>0.0</v>
      </c>
      <c r="Q33" s="2">
        <v>0.0</v>
      </c>
      <c r="R33" s="2">
        <v>0.0</v>
      </c>
      <c r="S33" s="2">
        <v>0.0</v>
      </c>
      <c r="T33" s="2">
        <v>0.0</v>
      </c>
      <c r="U33" s="2">
        <v>0.0</v>
      </c>
      <c r="V33" s="2">
        <v>0.0</v>
      </c>
      <c r="W33" s="2">
        <v>100.0</v>
      </c>
      <c r="X33" s="2">
        <v>0.0</v>
      </c>
      <c r="Y33" s="2">
        <v>0.0</v>
      </c>
      <c r="Z33" s="2">
        <v>0.0</v>
      </c>
      <c r="AA33" s="2">
        <v>100.0</v>
      </c>
      <c r="AB33" s="2">
        <v>0.0</v>
      </c>
      <c r="AC33" s="2">
        <v>0.0</v>
      </c>
      <c r="AD33" s="2">
        <v>0.0</v>
      </c>
      <c r="AE33" s="2">
        <v>35.0</v>
      </c>
      <c r="AF33" s="2">
        <v>30.0</v>
      </c>
      <c r="AG33" s="2">
        <v>0.0</v>
      </c>
      <c r="AH33" s="2">
        <v>100.0</v>
      </c>
      <c r="AI33" s="2" t="s">
        <v>469</v>
      </c>
      <c r="AJ33" s="2" t="s">
        <v>470</v>
      </c>
      <c r="AK33" s="2">
        <v>0.388893232599169</v>
      </c>
      <c r="AL33" s="2">
        <v>1.99834056150683</v>
      </c>
      <c r="AM33" s="2" t="s">
        <v>179</v>
      </c>
      <c r="AN33" s="2">
        <v>2.266</v>
      </c>
      <c r="AO33" s="2" t="s">
        <v>31</v>
      </c>
      <c r="AP33" s="2">
        <v>0.00235849056603774</v>
      </c>
      <c r="AQ33" s="2">
        <v>0.997641509433962</v>
      </c>
      <c r="AR33" s="2">
        <v>0.400471698113208</v>
      </c>
      <c r="AS33" s="2">
        <v>4.0</v>
      </c>
    </row>
    <row r="34" ht="15.75" customHeight="1">
      <c r="A34" s="2">
        <v>4.0</v>
      </c>
      <c r="B34" s="2">
        <v>1482.959595</v>
      </c>
      <c r="C34" s="2">
        <v>36.0</v>
      </c>
      <c r="D34" s="2">
        <v>1531652.738</v>
      </c>
      <c r="E34" s="2">
        <v>5444464.468</v>
      </c>
      <c r="F34" s="2">
        <v>1482.959595</v>
      </c>
      <c r="G34" s="2" t="s">
        <v>45</v>
      </c>
      <c r="H34" s="2" t="s">
        <v>475</v>
      </c>
      <c r="I34" s="2">
        <v>45390.0</v>
      </c>
      <c r="J34" s="2">
        <v>8.0</v>
      </c>
      <c r="K34" s="2" t="s">
        <v>31</v>
      </c>
      <c r="L34" s="2" t="s">
        <v>45</v>
      </c>
      <c r="M34" s="2">
        <v>4.0</v>
      </c>
      <c r="N34" s="2">
        <v>90.0</v>
      </c>
      <c r="O34" s="2">
        <v>10.0</v>
      </c>
      <c r="P34" s="2">
        <v>0.0</v>
      </c>
      <c r="Q34" s="2">
        <v>0.0</v>
      </c>
      <c r="R34" s="2">
        <v>0.0</v>
      </c>
      <c r="S34" s="2">
        <v>0.0</v>
      </c>
      <c r="T34" s="2">
        <v>0.0</v>
      </c>
      <c r="U34" s="2">
        <v>0.0</v>
      </c>
      <c r="V34" s="2">
        <v>0.0</v>
      </c>
      <c r="W34" s="2">
        <v>100.0</v>
      </c>
      <c r="X34" s="2">
        <v>30.0</v>
      </c>
      <c r="Y34" s="2">
        <v>0.0</v>
      </c>
      <c r="Z34" s="2">
        <v>0.0</v>
      </c>
      <c r="AA34" s="2">
        <v>0.0</v>
      </c>
      <c r="AB34" s="2">
        <v>70.0</v>
      </c>
      <c r="AC34" s="2">
        <v>0.0</v>
      </c>
      <c r="AD34" s="2">
        <v>0.0</v>
      </c>
      <c r="AE34" s="2">
        <v>36.0</v>
      </c>
      <c r="AF34" s="2">
        <v>35.0</v>
      </c>
      <c r="AG34" s="2">
        <v>0.0</v>
      </c>
      <c r="AH34" s="2">
        <v>70.0</v>
      </c>
      <c r="AI34" s="2" t="s">
        <v>482</v>
      </c>
      <c r="AJ34" s="2" t="s">
        <v>484</v>
      </c>
      <c r="AK34" s="2">
        <v>1.82933406346365</v>
      </c>
      <c r="AL34" s="2">
        <v>5.97919676891312</v>
      </c>
      <c r="AM34" s="2" t="s">
        <v>179</v>
      </c>
      <c r="AN34" s="2">
        <v>2.266</v>
      </c>
      <c r="AO34" s="2" t="s">
        <v>31</v>
      </c>
      <c r="AP34" s="2">
        <v>0.00235849056603774</v>
      </c>
      <c r="AQ34" s="2">
        <v>0.699056603773585</v>
      </c>
      <c r="AR34" s="2">
        <v>0.89811320754717</v>
      </c>
      <c r="AS34" s="2">
        <v>4.0</v>
      </c>
    </row>
    <row r="35" ht="15.75" customHeight="1">
      <c r="A35" s="2">
        <v>4.0</v>
      </c>
      <c r="B35" s="2">
        <v>1482.421143</v>
      </c>
      <c r="C35" s="2">
        <v>37.0</v>
      </c>
      <c r="D35" s="2">
        <v>1531643.505</v>
      </c>
      <c r="E35" s="2">
        <v>5444464.73</v>
      </c>
      <c r="F35" s="2">
        <v>1482.421143</v>
      </c>
      <c r="G35" s="2" t="s">
        <v>45</v>
      </c>
      <c r="H35" s="2" t="s">
        <v>491</v>
      </c>
      <c r="I35" s="2">
        <v>45390.0</v>
      </c>
      <c r="J35" s="2">
        <v>9.0</v>
      </c>
      <c r="K35" s="2" t="s">
        <v>31</v>
      </c>
      <c r="L35" s="2" t="s">
        <v>45</v>
      </c>
      <c r="M35" s="2">
        <v>4.0</v>
      </c>
      <c r="N35" s="2">
        <v>70.0</v>
      </c>
      <c r="O35" s="2">
        <v>30.0</v>
      </c>
      <c r="P35" s="2">
        <v>0.0</v>
      </c>
      <c r="Q35" s="2">
        <v>0.0</v>
      </c>
      <c r="R35" s="2">
        <v>0.0</v>
      </c>
      <c r="S35" s="2">
        <v>0.0</v>
      </c>
      <c r="T35" s="2">
        <v>0.0</v>
      </c>
      <c r="U35" s="2">
        <v>0.0</v>
      </c>
      <c r="V35" s="2">
        <v>0.0</v>
      </c>
      <c r="W35" s="2">
        <v>100.0</v>
      </c>
      <c r="X35" s="2">
        <v>0.0</v>
      </c>
      <c r="Y35" s="2">
        <v>0.0</v>
      </c>
      <c r="Z35" s="2">
        <v>0.0</v>
      </c>
      <c r="AA35" s="2">
        <v>0.0</v>
      </c>
      <c r="AB35" s="2">
        <v>0.0</v>
      </c>
      <c r="AC35" s="2">
        <v>100.0</v>
      </c>
      <c r="AD35" s="2">
        <v>0.0</v>
      </c>
      <c r="AE35" s="2">
        <v>37.0</v>
      </c>
      <c r="AF35" s="2">
        <v>40.0</v>
      </c>
      <c r="AG35" s="2">
        <v>0.0</v>
      </c>
      <c r="AH35" s="2">
        <v>100.0</v>
      </c>
      <c r="AI35" s="2" t="s">
        <v>494</v>
      </c>
      <c r="AJ35" s="2" t="s">
        <v>495</v>
      </c>
      <c r="AK35" s="2">
        <v>1.25657903148874</v>
      </c>
      <c r="AL35" s="2">
        <v>2.91861696768465</v>
      </c>
      <c r="AM35" s="2" t="s">
        <v>74</v>
      </c>
      <c r="AN35" s="2">
        <v>2.266</v>
      </c>
      <c r="AO35" s="2" t="s">
        <v>31</v>
      </c>
      <c r="AP35" s="2">
        <v>0.00235849056603774</v>
      </c>
      <c r="AQ35" s="2">
        <v>0.997641509433962</v>
      </c>
      <c r="AR35" s="2">
        <v>0.699056603773585</v>
      </c>
      <c r="AS35" s="2">
        <v>4.0</v>
      </c>
    </row>
    <row r="36" ht="15.75" customHeight="1">
      <c r="A36" s="2">
        <v>4.0</v>
      </c>
      <c r="B36" s="2">
        <v>1482.692627</v>
      </c>
      <c r="C36" s="2">
        <v>38.0</v>
      </c>
      <c r="D36" s="2">
        <v>1531636.564</v>
      </c>
      <c r="E36" s="2">
        <v>5444470.869</v>
      </c>
      <c r="F36" s="2">
        <v>1482.692627</v>
      </c>
      <c r="G36" s="2" t="s">
        <v>45</v>
      </c>
      <c r="H36" s="2" t="s">
        <v>496</v>
      </c>
      <c r="I36" s="2">
        <v>45390.0</v>
      </c>
      <c r="J36" s="2">
        <v>10.0</v>
      </c>
      <c r="K36" s="2" t="s">
        <v>31</v>
      </c>
      <c r="L36" s="2" t="s">
        <v>45</v>
      </c>
      <c r="M36" s="2">
        <v>4.0</v>
      </c>
      <c r="N36" s="2">
        <v>75.0</v>
      </c>
      <c r="O36" s="2">
        <v>25.0</v>
      </c>
      <c r="P36" s="2">
        <v>0.0</v>
      </c>
      <c r="Q36" s="2">
        <v>0.0</v>
      </c>
      <c r="R36" s="2">
        <v>0.0</v>
      </c>
      <c r="S36" s="2">
        <v>0.0</v>
      </c>
      <c r="T36" s="2">
        <v>0.0</v>
      </c>
      <c r="U36" s="2">
        <v>0.0</v>
      </c>
      <c r="V36" s="2">
        <v>0.0</v>
      </c>
      <c r="W36" s="2">
        <v>100.0</v>
      </c>
      <c r="X36" s="2">
        <v>0.0</v>
      </c>
      <c r="Y36" s="2">
        <v>0.0</v>
      </c>
      <c r="Z36" s="2">
        <v>0.0</v>
      </c>
      <c r="AA36" s="2">
        <v>100.0</v>
      </c>
      <c r="AB36" s="2">
        <v>0.0</v>
      </c>
      <c r="AC36" s="2">
        <v>0.0</v>
      </c>
      <c r="AD36" s="2">
        <v>0.0</v>
      </c>
      <c r="AE36" s="2">
        <v>38.0</v>
      </c>
      <c r="AF36" s="2">
        <v>45.0</v>
      </c>
      <c r="AG36" s="2">
        <v>0.0</v>
      </c>
      <c r="AH36" s="2">
        <v>100.0</v>
      </c>
      <c r="AI36" s="2" t="s">
        <v>499</v>
      </c>
      <c r="AJ36" s="2" t="s">
        <v>500</v>
      </c>
      <c r="AK36" s="2">
        <v>3.10294711982513</v>
      </c>
      <c r="AL36" s="2">
        <v>1.45875631951668</v>
      </c>
      <c r="AM36" s="2" t="s">
        <v>55</v>
      </c>
      <c r="AN36" s="2">
        <v>2.266</v>
      </c>
      <c r="AO36" s="2" t="s">
        <v>31</v>
      </c>
      <c r="AP36" s="2">
        <v>0.00235849056603774</v>
      </c>
      <c r="AQ36" s="2">
        <v>0.997641509433962</v>
      </c>
      <c r="AR36" s="2">
        <v>0.748820754716981</v>
      </c>
      <c r="AS36" s="2">
        <v>4.0</v>
      </c>
    </row>
    <row r="37" ht="15.75" customHeight="1">
      <c r="A37" s="2">
        <v>4.0</v>
      </c>
      <c r="B37" s="2">
        <v>1483.038208</v>
      </c>
      <c r="C37" s="2">
        <v>39.0</v>
      </c>
      <c r="D37" s="2">
        <v>1531630.972</v>
      </c>
      <c r="E37" s="2">
        <v>5444478.334</v>
      </c>
      <c r="F37" s="2">
        <v>1483.038208</v>
      </c>
      <c r="G37" s="2" t="s">
        <v>45</v>
      </c>
      <c r="H37" s="2" t="s">
        <v>503</v>
      </c>
      <c r="I37" s="2">
        <v>45390.0</v>
      </c>
      <c r="J37" s="2">
        <v>11.0</v>
      </c>
      <c r="K37" s="2" t="s">
        <v>31</v>
      </c>
      <c r="L37" s="2" t="s">
        <v>45</v>
      </c>
      <c r="M37" s="2">
        <v>4.0</v>
      </c>
      <c r="N37" s="2">
        <v>60.0</v>
      </c>
      <c r="O37" s="2">
        <v>40.0</v>
      </c>
      <c r="P37" s="2">
        <v>0.0</v>
      </c>
      <c r="Q37" s="2">
        <v>0.0</v>
      </c>
      <c r="R37" s="2">
        <v>0.0</v>
      </c>
      <c r="S37" s="2">
        <v>0.0</v>
      </c>
      <c r="T37" s="2">
        <v>0.0</v>
      </c>
      <c r="U37" s="2">
        <v>0.0</v>
      </c>
      <c r="V37" s="2">
        <v>0.0</v>
      </c>
      <c r="W37" s="2">
        <v>100.0</v>
      </c>
      <c r="X37" s="2">
        <v>20.0</v>
      </c>
      <c r="Y37" s="2">
        <v>0.0</v>
      </c>
      <c r="Z37" s="2">
        <v>0.0</v>
      </c>
      <c r="AA37" s="2">
        <v>80.0</v>
      </c>
      <c r="AB37" s="2">
        <v>0.0</v>
      </c>
      <c r="AC37" s="2">
        <v>0.0</v>
      </c>
      <c r="AD37" s="2">
        <v>0.0</v>
      </c>
      <c r="AE37" s="2">
        <v>39.0</v>
      </c>
      <c r="AF37" s="2">
        <v>50.0</v>
      </c>
      <c r="AG37" s="2">
        <v>0.0</v>
      </c>
      <c r="AH37" s="2">
        <v>80.0</v>
      </c>
      <c r="AI37" s="2" t="s">
        <v>508</v>
      </c>
      <c r="AJ37" s="2" t="s">
        <v>509</v>
      </c>
      <c r="AK37" s="2">
        <v>2.68143492165087</v>
      </c>
      <c r="AL37" s="2">
        <v>10.3813238556577</v>
      </c>
      <c r="AM37" s="2" t="s">
        <v>55</v>
      </c>
      <c r="AN37" s="2">
        <v>2.266</v>
      </c>
      <c r="AO37" s="2" t="s">
        <v>31</v>
      </c>
      <c r="AP37" s="2">
        <v>0.00235849056603774</v>
      </c>
      <c r="AQ37" s="2">
        <v>0.798584905660377</v>
      </c>
      <c r="AR37" s="2">
        <v>0.599528301886792</v>
      </c>
      <c r="AS37" s="2">
        <v>4.0</v>
      </c>
    </row>
    <row r="38" ht="15.75" customHeight="1">
      <c r="A38" s="2">
        <v>4.0</v>
      </c>
      <c r="B38" s="2">
        <v>1481.72644</v>
      </c>
      <c r="C38" s="2">
        <v>40.0</v>
      </c>
      <c r="D38" s="2">
        <v>1531624.774</v>
      </c>
      <c r="E38" s="2">
        <v>5444481.47</v>
      </c>
      <c r="F38" s="2">
        <v>1481.72644</v>
      </c>
      <c r="G38" s="2" t="s">
        <v>45</v>
      </c>
      <c r="H38" s="2" t="s">
        <v>512</v>
      </c>
      <c r="I38" s="2">
        <v>45390.0</v>
      </c>
      <c r="J38" s="2">
        <v>12.0</v>
      </c>
      <c r="K38" s="2" t="s">
        <v>31</v>
      </c>
      <c r="L38" s="2" t="s">
        <v>45</v>
      </c>
      <c r="M38" s="2">
        <v>4.0</v>
      </c>
      <c r="N38" s="2">
        <v>80.0</v>
      </c>
      <c r="O38" s="2">
        <v>20.0</v>
      </c>
      <c r="P38" s="2">
        <v>0.0</v>
      </c>
      <c r="Q38" s="2">
        <v>0.0</v>
      </c>
      <c r="R38" s="2">
        <v>0.0</v>
      </c>
      <c r="S38" s="2">
        <v>0.0</v>
      </c>
      <c r="T38" s="2">
        <v>0.0</v>
      </c>
      <c r="U38" s="2">
        <v>0.0</v>
      </c>
      <c r="V38" s="2">
        <v>0.0</v>
      </c>
      <c r="W38" s="2">
        <v>100.0</v>
      </c>
      <c r="X38" s="2">
        <v>0.0</v>
      </c>
      <c r="Y38" s="2">
        <v>0.0</v>
      </c>
      <c r="Z38" s="2">
        <v>0.0</v>
      </c>
      <c r="AA38" s="2">
        <v>100.0</v>
      </c>
      <c r="AB38" s="2">
        <v>0.0</v>
      </c>
      <c r="AC38" s="2">
        <v>0.0</v>
      </c>
      <c r="AD38" s="2">
        <v>0.0</v>
      </c>
      <c r="AE38" s="2">
        <v>40.0</v>
      </c>
      <c r="AF38" s="2">
        <v>55.0</v>
      </c>
      <c r="AG38" s="2">
        <v>0.0</v>
      </c>
      <c r="AH38" s="2">
        <v>100.0</v>
      </c>
      <c r="AI38" s="2" t="s">
        <v>515</v>
      </c>
      <c r="AJ38" s="2" t="s">
        <v>516</v>
      </c>
      <c r="AK38" s="2">
        <v>3.55697917979631</v>
      </c>
      <c r="AL38" s="2">
        <v>13.6635367680976</v>
      </c>
      <c r="AM38" s="2" t="s">
        <v>179</v>
      </c>
      <c r="AN38" s="2">
        <v>2.266</v>
      </c>
      <c r="AO38" s="2" t="s">
        <v>31</v>
      </c>
      <c r="AP38" s="2">
        <v>0.00235849056603774</v>
      </c>
      <c r="AQ38" s="2">
        <v>0.997641509433962</v>
      </c>
      <c r="AR38" s="2">
        <v>0.798584905660377</v>
      </c>
      <c r="AS38" s="2">
        <v>4.0</v>
      </c>
    </row>
    <row r="39" ht="15.75" customHeight="1">
      <c r="A39" s="2">
        <v>4.0</v>
      </c>
      <c r="B39" s="2">
        <v>1481.307495</v>
      </c>
      <c r="C39" s="2">
        <v>41.0</v>
      </c>
      <c r="D39" s="2">
        <v>1531618.76</v>
      </c>
      <c r="E39" s="2">
        <v>5444488.271</v>
      </c>
      <c r="F39" s="2">
        <v>1481.307495</v>
      </c>
      <c r="G39" s="2" t="s">
        <v>45</v>
      </c>
      <c r="H39" s="2" t="s">
        <v>517</v>
      </c>
      <c r="I39" s="2">
        <v>45390.0</v>
      </c>
      <c r="J39" s="2">
        <v>13.0</v>
      </c>
      <c r="K39" s="2" t="s">
        <v>31</v>
      </c>
      <c r="L39" s="2" t="s">
        <v>45</v>
      </c>
      <c r="M39" s="2">
        <v>3.0</v>
      </c>
      <c r="N39" s="2">
        <v>40.0</v>
      </c>
      <c r="O39" s="2">
        <v>20.0</v>
      </c>
      <c r="P39" s="2">
        <v>0.0</v>
      </c>
      <c r="Q39" s="2">
        <v>0.0</v>
      </c>
      <c r="R39" s="2">
        <v>0.0</v>
      </c>
      <c r="S39" s="2">
        <v>0.0</v>
      </c>
      <c r="T39" s="2">
        <v>10.0</v>
      </c>
      <c r="U39" s="2">
        <v>0.0</v>
      </c>
      <c r="V39" s="2">
        <v>30.0</v>
      </c>
      <c r="W39" s="2">
        <v>100.0</v>
      </c>
      <c r="X39" s="2">
        <v>70.0</v>
      </c>
      <c r="Y39" s="2">
        <v>0.0</v>
      </c>
      <c r="Z39" s="2">
        <v>0.0</v>
      </c>
      <c r="AA39" s="2">
        <v>30.0</v>
      </c>
      <c r="AB39" s="2">
        <v>0.0</v>
      </c>
      <c r="AC39" s="2">
        <v>0.0</v>
      </c>
      <c r="AD39" s="2">
        <v>0.0</v>
      </c>
      <c r="AE39" s="2">
        <v>41.0</v>
      </c>
      <c r="AF39" s="2">
        <v>60.0</v>
      </c>
      <c r="AG39" s="2">
        <v>40.0</v>
      </c>
      <c r="AH39" s="2">
        <v>30.0</v>
      </c>
      <c r="AI39" s="2" t="s">
        <v>522</v>
      </c>
      <c r="AJ39" s="2" t="s">
        <v>523</v>
      </c>
      <c r="AK39" s="2">
        <v>1.94033919390301</v>
      </c>
      <c r="AL39" s="2">
        <v>5.45803664390245</v>
      </c>
      <c r="AM39" s="2" t="s">
        <v>179</v>
      </c>
      <c r="AN39" s="2">
        <v>2.266</v>
      </c>
      <c r="AO39" s="2" t="s">
        <v>31</v>
      </c>
      <c r="AP39" s="2">
        <v>0.400471698113208</v>
      </c>
      <c r="AQ39" s="2">
        <v>0.300943396226415</v>
      </c>
      <c r="AR39" s="2">
        <v>0.400471698113208</v>
      </c>
      <c r="AS39" s="2">
        <v>3.0</v>
      </c>
    </row>
    <row r="40" ht="15.75" customHeight="1">
      <c r="A40" s="2">
        <v>4.0</v>
      </c>
      <c r="B40" s="2">
        <v>1483.5448</v>
      </c>
      <c r="C40" s="2">
        <v>42.0</v>
      </c>
      <c r="D40" s="2">
        <v>1531610.359</v>
      </c>
      <c r="E40" s="2">
        <v>5444486.753</v>
      </c>
      <c r="F40" s="2">
        <v>1483.5448</v>
      </c>
      <c r="G40" s="2" t="s">
        <v>45</v>
      </c>
      <c r="H40" s="2" t="s">
        <v>526</v>
      </c>
      <c r="I40" s="2">
        <v>45390.0</v>
      </c>
      <c r="J40" s="2">
        <v>14.0</v>
      </c>
      <c r="K40" s="2" t="s">
        <v>31</v>
      </c>
      <c r="L40" s="2" t="s">
        <v>45</v>
      </c>
      <c r="M40" s="2">
        <v>3.0</v>
      </c>
      <c r="N40" s="2">
        <v>0.0</v>
      </c>
      <c r="O40" s="2">
        <v>10.0</v>
      </c>
      <c r="P40" s="2">
        <v>20.0</v>
      </c>
      <c r="Q40" s="2">
        <v>10.0</v>
      </c>
      <c r="R40" s="2">
        <v>20.0</v>
      </c>
      <c r="S40" s="2">
        <v>40.0</v>
      </c>
      <c r="T40" s="2">
        <v>0.0</v>
      </c>
      <c r="U40" s="2">
        <v>0.0</v>
      </c>
      <c r="V40" s="2">
        <v>0.0</v>
      </c>
      <c r="W40" s="2">
        <v>100.0</v>
      </c>
      <c r="X40" s="2">
        <v>60.0</v>
      </c>
      <c r="Y40" s="2">
        <v>0.0</v>
      </c>
      <c r="Z40" s="2">
        <v>0.0</v>
      </c>
      <c r="AA40" s="2">
        <v>0.0</v>
      </c>
      <c r="AB40" s="2">
        <v>0.0</v>
      </c>
      <c r="AC40" s="2">
        <v>0.0</v>
      </c>
      <c r="AD40" s="2">
        <v>40.0</v>
      </c>
      <c r="AE40" s="2">
        <v>42.0</v>
      </c>
      <c r="AF40" s="2">
        <v>65.0</v>
      </c>
      <c r="AG40" s="2">
        <v>60.0</v>
      </c>
      <c r="AH40" s="2">
        <v>40.0</v>
      </c>
      <c r="AI40" s="2" t="s">
        <v>530</v>
      </c>
      <c r="AJ40" s="2" t="s">
        <v>531</v>
      </c>
      <c r="AK40" s="2">
        <v>3.58571162752935</v>
      </c>
      <c r="AL40" s="2">
        <v>10.9043907216753</v>
      </c>
      <c r="AM40" s="2" t="s">
        <v>179</v>
      </c>
      <c r="AN40" s="2">
        <v>2.266</v>
      </c>
      <c r="AO40" s="2" t="s">
        <v>31</v>
      </c>
      <c r="AP40" s="2">
        <v>0.599528301886792</v>
      </c>
      <c r="AQ40" s="2">
        <v>0.400471698113208</v>
      </c>
      <c r="AR40" s="2">
        <v>0.00235849056603774</v>
      </c>
      <c r="AS40" s="2">
        <v>3.0</v>
      </c>
    </row>
    <row r="41" ht="15.75" customHeight="1">
      <c r="A41" s="2">
        <v>4.0</v>
      </c>
      <c r="B41" s="2">
        <v>1480.817017</v>
      </c>
      <c r="C41" s="2">
        <v>43.0</v>
      </c>
      <c r="D41" s="2">
        <v>1531600.297</v>
      </c>
      <c r="E41" s="2">
        <v>5444489.35</v>
      </c>
      <c r="F41" s="2">
        <v>1480.817017</v>
      </c>
      <c r="G41" s="2" t="s">
        <v>45</v>
      </c>
      <c r="H41" s="2" t="s">
        <v>534</v>
      </c>
      <c r="I41" s="2">
        <v>45390.0</v>
      </c>
      <c r="J41" s="2">
        <v>15.0</v>
      </c>
      <c r="K41" s="2" t="s">
        <v>31</v>
      </c>
      <c r="L41" s="2" t="s">
        <v>45</v>
      </c>
      <c r="M41" s="2">
        <v>3.0</v>
      </c>
      <c r="N41" s="2">
        <v>30.0</v>
      </c>
      <c r="O41" s="2">
        <v>0.0</v>
      </c>
      <c r="P41" s="2">
        <v>30.0</v>
      </c>
      <c r="Q41" s="2">
        <v>0.0</v>
      </c>
      <c r="R41" s="2">
        <v>0.0</v>
      </c>
      <c r="S41" s="2">
        <v>20.0</v>
      </c>
      <c r="T41" s="2">
        <v>0.0</v>
      </c>
      <c r="U41" s="2">
        <v>20.0</v>
      </c>
      <c r="V41" s="2">
        <v>0.0</v>
      </c>
      <c r="W41" s="2">
        <v>100.0</v>
      </c>
      <c r="X41" s="2">
        <v>40.0</v>
      </c>
      <c r="Y41" s="2">
        <v>0.0</v>
      </c>
      <c r="Z41" s="2">
        <v>0.0</v>
      </c>
      <c r="AA41" s="2">
        <v>60.0</v>
      </c>
      <c r="AB41" s="2">
        <v>0.0</v>
      </c>
      <c r="AC41" s="2">
        <v>0.0</v>
      </c>
      <c r="AD41" s="2">
        <v>0.0</v>
      </c>
      <c r="AE41" s="2">
        <v>43.0</v>
      </c>
      <c r="AF41" s="2">
        <v>70.0</v>
      </c>
      <c r="AG41" s="2">
        <v>40.0</v>
      </c>
      <c r="AH41" s="2">
        <v>60.0</v>
      </c>
      <c r="AI41" s="2" t="s">
        <v>535</v>
      </c>
      <c r="AJ41" s="2" t="s">
        <v>536</v>
      </c>
      <c r="AK41" s="2">
        <v>0.242122775961172</v>
      </c>
      <c r="AL41" s="2">
        <v>18.9557350162066</v>
      </c>
      <c r="AM41" s="2" t="s">
        <v>179</v>
      </c>
      <c r="AN41" s="2">
        <v>2.266</v>
      </c>
      <c r="AO41" s="2" t="s">
        <v>31</v>
      </c>
      <c r="AP41" s="2">
        <v>0.400471698113208</v>
      </c>
      <c r="AQ41" s="2">
        <v>0.599528301886792</v>
      </c>
      <c r="AR41" s="2">
        <v>0.300943396226415</v>
      </c>
      <c r="AS41" s="2">
        <v>3.0</v>
      </c>
    </row>
    <row r="42" ht="15.75" customHeight="1">
      <c r="A42" s="2">
        <v>4.0</v>
      </c>
      <c r="B42" s="2">
        <v>1480.622192</v>
      </c>
      <c r="C42" s="2">
        <v>44.0</v>
      </c>
      <c r="D42" s="2">
        <v>1531592.83</v>
      </c>
      <c r="E42" s="2">
        <v>5444490.382</v>
      </c>
      <c r="F42" s="2">
        <v>1480.622192</v>
      </c>
      <c r="G42" s="2" t="s">
        <v>45</v>
      </c>
      <c r="H42" s="2" t="s">
        <v>541</v>
      </c>
      <c r="I42" s="2">
        <v>45390.0</v>
      </c>
      <c r="J42" s="2">
        <v>16.0</v>
      </c>
      <c r="K42" s="2" t="s">
        <v>31</v>
      </c>
      <c r="L42" s="2" t="s">
        <v>45</v>
      </c>
      <c r="M42" s="2">
        <v>2.0</v>
      </c>
      <c r="N42" s="2">
        <v>0.0</v>
      </c>
      <c r="O42" s="2">
        <v>0.0</v>
      </c>
      <c r="P42" s="2">
        <v>70.0</v>
      </c>
      <c r="Q42" s="2">
        <v>20.0</v>
      </c>
      <c r="R42" s="2">
        <v>10.0</v>
      </c>
      <c r="S42" s="2">
        <v>0.0</v>
      </c>
      <c r="T42" s="2">
        <v>0.0</v>
      </c>
      <c r="U42" s="2">
        <v>0.0</v>
      </c>
      <c r="V42" s="2">
        <v>0.0</v>
      </c>
      <c r="W42" s="2">
        <v>100.0</v>
      </c>
      <c r="X42" s="2">
        <v>90.0</v>
      </c>
      <c r="Y42" s="2">
        <v>0.0</v>
      </c>
      <c r="Z42" s="2">
        <v>0.0</v>
      </c>
      <c r="AA42" s="2">
        <v>10.0</v>
      </c>
      <c r="AB42" s="2">
        <v>0.0</v>
      </c>
      <c r="AC42" s="2">
        <v>0.0</v>
      </c>
      <c r="AD42" s="2">
        <v>0.0</v>
      </c>
      <c r="AE42" s="2">
        <v>44.0</v>
      </c>
      <c r="AF42" s="2">
        <v>75.0</v>
      </c>
      <c r="AG42" s="2">
        <v>10.0</v>
      </c>
      <c r="AH42" s="2">
        <v>10.0</v>
      </c>
      <c r="AI42" s="2" t="s">
        <v>544</v>
      </c>
      <c r="AJ42" s="2" t="s">
        <v>545</v>
      </c>
      <c r="AK42" s="2">
        <v>0.513394366614811</v>
      </c>
      <c r="AL42" s="2">
        <v>26.1252848596165</v>
      </c>
      <c r="AM42" s="2" t="s">
        <v>179</v>
      </c>
      <c r="AN42" s="2">
        <v>2.266</v>
      </c>
      <c r="AO42" s="2" t="s">
        <v>31</v>
      </c>
      <c r="AP42" s="2">
        <v>0.10188679245283</v>
      </c>
      <c r="AQ42" s="2">
        <v>0.10188679245283</v>
      </c>
      <c r="AR42" s="2">
        <v>0.00235849056603774</v>
      </c>
      <c r="AS42" s="2">
        <v>2.0</v>
      </c>
    </row>
    <row r="43" ht="15.75" customHeight="1">
      <c r="A43" s="2">
        <v>4.0</v>
      </c>
      <c r="B43" s="2">
        <v>1481.556519</v>
      </c>
      <c r="C43" s="2">
        <v>45.0</v>
      </c>
      <c r="D43" s="2">
        <v>1531587.135</v>
      </c>
      <c r="E43" s="2">
        <v>5444493.405</v>
      </c>
      <c r="F43" s="2">
        <v>1481.556519</v>
      </c>
      <c r="G43" s="2" t="s">
        <v>45</v>
      </c>
      <c r="H43" s="2" t="s">
        <v>548</v>
      </c>
      <c r="I43" s="2">
        <v>45390.0</v>
      </c>
      <c r="J43" s="2">
        <v>17.0</v>
      </c>
      <c r="K43" s="2" t="s">
        <v>31</v>
      </c>
      <c r="L43" s="2" t="s">
        <v>45</v>
      </c>
      <c r="M43" s="2">
        <v>1.0</v>
      </c>
      <c r="N43" s="2">
        <v>0.0</v>
      </c>
      <c r="O43" s="2">
        <v>0.0</v>
      </c>
      <c r="P43" s="2">
        <v>60.0</v>
      </c>
      <c r="Q43" s="2">
        <v>20.0</v>
      </c>
      <c r="R43" s="2">
        <v>0.0</v>
      </c>
      <c r="S43" s="2">
        <v>0.0</v>
      </c>
      <c r="T43" s="2">
        <v>0.0</v>
      </c>
      <c r="U43" s="2">
        <v>20.0</v>
      </c>
      <c r="V43" s="2">
        <v>0.0</v>
      </c>
      <c r="W43" s="2">
        <v>100.0</v>
      </c>
      <c r="X43" s="2">
        <v>90.0</v>
      </c>
      <c r="Y43" s="2">
        <v>0.0</v>
      </c>
      <c r="Z43" s="2">
        <v>0.0</v>
      </c>
      <c r="AA43" s="2">
        <v>10.0</v>
      </c>
      <c r="AB43" s="2">
        <v>0.0</v>
      </c>
      <c r="AC43" s="2">
        <v>0.0</v>
      </c>
      <c r="AD43" s="2">
        <v>0.0</v>
      </c>
      <c r="AE43" s="2">
        <v>45.0</v>
      </c>
      <c r="AF43" s="2">
        <v>80.0</v>
      </c>
      <c r="AG43" s="2">
        <v>20.0</v>
      </c>
      <c r="AH43" s="2">
        <v>10.0</v>
      </c>
      <c r="AI43" s="2" t="s">
        <v>553</v>
      </c>
      <c r="AJ43" s="2" t="s">
        <v>554</v>
      </c>
      <c r="AK43" s="2">
        <v>5.08999417819223</v>
      </c>
      <c r="AL43" s="2">
        <v>31.6066607062315</v>
      </c>
      <c r="AM43" s="2" t="s">
        <v>179</v>
      </c>
      <c r="AN43" s="2">
        <v>2.266</v>
      </c>
      <c r="AO43" s="2" t="s">
        <v>31</v>
      </c>
      <c r="AP43" s="2">
        <v>0.201415094339623</v>
      </c>
      <c r="AQ43" s="2">
        <v>0.10188679245283</v>
      </c>
      <c r="AR43" s="2">
        <v>0.00235849056603774</v>
      </c>
      <c r="AS43" s="2">
        <v>1.0</v>
      </c>
    </row>
    <row r="44" ht="15.75" customHeight="1">
      <c r="A44" s="2">
        <v>4.0</v>
      </c>
      <c r="B44" s="2">
        <v>1483.404663</v>
      </c>
      <c r="C44" s="2">
        <v>46.0</v>
      </c>
      <c r="D44" s="2">
        <v>1531586.299</v>
      </c>
      <c r="E44" s="2">
        <v>5444494.298</v>
      </c>
      <c r="F44" s="2">
        <v>1483.404663</v>
      </c>
      <c r="G44" s="2" t="s">
        <v>45</v>
      </c>
      <c r="H44" s="2" t="s">
        <v>557</v>
      </c>
      <c r="I44" s="2">
        <v>45390.0</v>
      </c>
      <c r="J44" s="2">
        <v>18.0</v>
      </c>
      <c r="K44" s="2" t="s">
        <v>31</v>
      </c>
      <c r="L44" s="2" t="s">
        <v>45</v>
      </c>
      <c r="M44" s="2">
        <v>1.0</v>
      </c>
      <c r="N44" s="2">
        <v>0.0</v>
      </c>
      <c r="O44" s="2">
        <v>0.0</v>
      </c>
      <c r="P44" s="2">
        <v>20.0</v>
      </c>
      <c r="Q44" s="2">
        <v>0.0</v>
      </c>
      <c r="R44" s="2">
        <v>30.0</v>
      </c>
      <c r="S44" s="2">
        <v>30.0</v>
      </c>
      <c r="T44" s="2">
        <v>0.0</v>
      </c>
      <c r="U44" s="2">
        <v>20.0</v>
      </c>
      <c r="V44" s="2">
        <v>0.0</v>
      </c>
      <c r="W44" s="2">
        <v>100.0</v>
      </c>
      <c r="X44" s="2">
        <v>100.0</v>
      </c>
      <c r="Y44" s="2">
        <v>0.0</v>
      </c>
      <c r="Z44" s="2">
        <v>0.0</v>
      </c>
      <c r="AA44" s="2">
        <v>0.0</v>
      </c>
      <c r="AB44" s="2">
        <v>0.0</v>
      </c>
      <c r="AC44" s="2">
        <v>0.0</v>
      </c>
      <c r="AD44" s="2">
        <v>0.0</v>
      </c>
      <c r="AE44" s="2">
        <v>46.0</v>
      </c>
      <c r="AF44" s="2">
        <v>85.0</v>
      </c>
      <c r="AG44" s="2">
        <v>80.0</v>
      </c>
      <c r="AH44" s="2">
        <v>0.0</v>
      </c>
      <c r="AI44" s="2" t="s">
        <v>559</v>
      </c>
      <c r="AJ44" s="2" t="s">
        <v>561</v>
      </c>
      <c r="AK44" s="2">
        <v>6.23368527918084</v>
      </c>
      <c r="AL44" s="2">
        <v>32.4459896133876</v>
      </c>
      <c r="AM44" s="2" t="s">
        <v>179</v>
      </c>
      <c r="AN44" s="2">
        <v>2.266</v>
      </c>
      <c r="AO44" s="2" t="s">
        <v>31</v>
      </c>
      <c r="AP44" s="2">
        <v>0.798584905660377</v>
      </c>
      <c r="AQ44" s="2">
        <v>0.00235849056603774</v>
      </c>
      <c r="AR44" s="2">
        <v>0.00235849056603774</v>
      </c>
      <c r="AS44" s="2">
        <v>1.0</v>
      </c>
    </row>
    <row r="45" ht="15.75" customHeight="1">
      <c r="A45" s="2">
        <v>5.0</v>
      </c>
      <c r="B45" s="2">
        <v>1464.533325</v>
      </c>
      <c r="C45" s="2">
        <v>47.0</v>
      </c>
      <c r="D45" s="2">
        <v>1531042.483</v>
      </c>
      <c r="E45" s="2">
        <v>5444151.9</v>
      </c>
      <c r="F45" s="2">
        <v>1464.533325</v>
      </c>
      <c r="G45" s="2" t="s">
        <v>54</v>
      </c>
      <c r="H45" s="2" t="s">
        <v>564</v>
      </c>
      <c r="I45" s="2">
        <v>45391.0</v>
      </c>
      <c r="J45" s="2">
        <v>1.0</v>
      </c>
      <c r="K45" s="2" t="s">
        <v>31</v>
      </c>
      <c r="L45" s="2" t="s">
        <v>54</v>
      </c>
      <c r="M45" s="2">
        <v>3.0</v>
      </c>
      <c r="N45" s="2">
        <v>30.0</v>
      </c>
      <c r="O45" s="2">
        <v>0.0</v>
      </c>
      <c r="P45" s="2">
        <v>5.0</v>
      </c>
      <c r="Q45" s="2">
        <v>0.0</v>
      </c>
      <c r="R45" s="2">
        <v>0.0</v>
      </c>
      <c r="S45" s="2">
        <v>0.0</v>
      </c>
      <c r="T45" s="2">
        <v>45.0</v>
      </c>
      <c r="U45" s="2">
        <v>0.0</v>
      </c>
      <c r="V45" s="2">
        <v>20.0</v>
      </c>
      <c r="W45" s="2">
        <v>100.0</v>
      </c>
      <c r="X45" s="2">
        <v>70.0</v>
      </c>
      <c r="Y45" s="2">
        <v>0.0</v>
      </c>
      <c r="Z45" s="2">
        <v>0.0</v>
      </c>
      <c r="AA45" s="2">
        <v>30.0</v>
      </c>
      <c r="AB45" s="2">
        <v>0.0</v>
      </c>
      <c r="AC45" s="2">
        <v>0.0</v>
      </c>
      <c r="AD45" s="2">
        <v>0.0</v>
      </c>
      <c r="AE45" s="2">
        <v>47.0</v>
      </c>
      <c r="AF45" s="2">
        <v>0.0</v>
      </c>
      <c r="AG45" s="2">
        <v>65.0</v>
      </c>
      <c r="AH45" s="2">
        <v>30.0</v>
      </c>
      <c r="AI45" s="2" t="s">
        <v>567</v>
      </c>
      <c r="AJ45" s="2" t="s">
        <v>569</v>
      </c>
      <c r="AK45" s="2">
        <v>0.238987131341983</v>
      </c>
      <c r="AL45" s="2">
        <v>13.5785700647106</v>
      </c>
      <c r="AM45" s="2" t="s">
        <v>179</v>
      </c>
      <c r="AN45" s="2">
        <v>2.899</v>
      </c>
      <c r="AO45" s="2" t="s">
        <v>31</v>
      </c>
      <c r="AP45" s="2">
        <v>0.649292452830189</v>
      </c>
      <c r="AQ45" s="2">
        <v>0.300943396226415</v>
      </c>
      <c r="AR45" s="2">
        <v>0.300943396226415</v>
      </c>
      <c r="AS45" s="2">
        <v>3.0</v>
      </c>
    </row>
    <row r="46" ht="15.75" customHeight="1">
      <c r="A46" s="2">
        <v>5.0</v>
      </c>
      <c r="B46" s="2">
        <v>1482.775269</v>
      </c>
      <c r="C46" s="2">
        <v>48.0</v>
      </c>
      <c r="D46" s="2">
        <v>1531038.638</v>
      </c>
      <c r="E46" s="2">
        <v>5444155.803</v>
      </c>
      <c r="F46" s="2">
        <v>1482.775269</v>
      </c>
      <c r="G46" s="2" t="s">
        <v>54</v>
      </c>
      <c r="H46" s="2" t="s">
        <v>572</v>
      </c>
      <c r="I46" s="2">
        <v>45391.0</v>
      </c>
      <c r="J46" s="2">
        <v>2.0</v>
      </c>
      <c r="K46" s="2" t="s">
        <v>31</v>
      </c>
      <c r="L46" s="2" t="s">
        <v>54</v>
      </c>
      <c r="M46" s="2">
        <v>4.0</v>
      </c>
      <c r="N46" s="2">
        <v>0.0</v>
      </c>
      <c r="O46" s="2">
        <v>0.0</v>
      </c>
      <c r="P46" s="2">
        <v>50.0</v>
      </c>
      <c r="Q46" s="2">
        <v>30.0</v>
      </c>
      <c r="R46" s="2">
        <v>0.0</v>
      </c>
      <c r="S46" s="2">
        <v>0.0</v>
      </c>
      <c r="T46" s="2">
        <v>20.0</v>
      </c>
      <c r="U46" s="2">
        <v>0.0</v>
      </c>
      <c r="V46" s="2">
        <v>0.0</v>
      </c>
      <c r="W46" s="2">
        <v>100.0</v>
      </c>
      <c r="X46" s="2">
        <v>50.0</v>
      </c>
      <c r="Y46" s="2">
        <v>0.0</v>
      </c>
      <c r="Z46" s="2">
        <v>0.0</v>
      </c>
      <c r="AA46" s="2">
        <v>50.0</v>
      </c>
      <c r="AB46" s="2">
        <v>0.0</v>
      </c>
      <c r="AC46" s="2">
        <v>0.0</v>
      </c>
      <c r="AD46" s="2">
        <v>20.0</v>
      </c>
      <c r="AE46" s="2">
        <v>48.0</v>
      </c>
      <c r="AF46" s="2">
        <v>5.0</v>
      </c>
      <c r="AG46" s="2">
        <v>20.0</v>
      </c>
      <c r="AH46" s="2">
        <v>50.0</v>
      </c>
      <c r="AI46" s="2" t="s">
        <v>576</v>
      </c>
      <c r="AJ46" s="2" t="s">
        <v>577</v>
      </c>
      <c r="AK46" s="2">
        <v>3.11390811415784</v>
      </c>
      <c r="AL46" s="2">
        <v>8.09997438282621</v>
      </c>
      <c r="AM46" s="2" t="s">
        <v>179</v>
      </c>
      <c r="AN46" s="2">
        <v>2.899</v>
      </c>
      <c r="AO46" s="2" t="s">
        <v>31</v>
      </c>
      <c r="AP46" s="2">
        <v>0.201415094339623</v>
      </c>
      <c r="AQ46" s="2">
        <v>0.5</v>
      </c>
      <c r="AR46" s="2">
        <v>0.00235849056603774</v>
      </c>
      <c r="AS46" s="2">
        <v>4.0</v>
      </c>
    </row>
    <row r="47" ht="15.75" customHeight="1">
      <c r="A47" s="2">
        <v>5.0</v>
      </c>
      <c r="B47" s="2">
        <v>1483.876099</v>
      </c>
      <c r="C47" s="2">
        <v>49.0</v>
      </c>
      <c r="D47" s="2">
        <v>1531033.374</v>
      </c>
      <c r="E47" s="2">
        <v>5444161.49</v>
      </c>
      <c r="F47" s="2">
        <v>1483.876099</v>
      </c>
      <c r="G47" s="2" t="s">
        <v>54</v>
      </c>
      <c r="H47" s="2" t="s">
        <v>579</v>
      </c>
      <c r="I47" s="2">
        <v>45391.0</v>
      </c>
      <c r="J47" s="2">
        <v>3.0</v>
      </c>
      <c r="K47" s="2" t="s">
        <v>31</v>
      </c>
      <c r="L47" s="2" t="s">
        <v>54</v>
      </c>
      <c r="M47" s="2">
        <v>2.0</v>
      </c>
      <c r="N47" s="2">
        <v>0.0</v>
      </c>
      <c r="O47" s="2">
        <v>0.0</v>
      </c>
      <c r="P47" s="2">
        <v>0.0</v>
      </c>
      <c r="Q47" s="2">
        <v>0.0</v>
      </c>
      <c r="R47" s="2">
        <v>0.0</v>
      </c>
      <c r="S47" s="2">
        <v>0.0</v>
      </c>
      <c r="T47" s="2">
        <v>90.0</v>
      </c>
      <c r="U47" s="2">
        <v>10.0</v>
      </c>
      <c r="V47" s="2">
        <v>0.0</v>
      </c>
      <c r="W47" s="2">
        <v>100.0</v>
      </c>
      <c r="X47" s="2">
        <v>90.0</v>
      </c>
      <c r="Y47" s="2">
        <v>0.0</v>
      </c>
      <c r="Z47" s="2">
        <v>0.0</v>
      </c>
      <c r="AA47" s="2">
        <v>10.0</v>
      </c>
      <c r="AB47" s="2">
        <v>0.0</v>
      </c>
      <c r="AC47" s="2">
        <v>0.0</v>
      </c>
      <c r="AD47" s="2">
        <v>0.0</v>
      </c>
      <c r="AE47" s="2">
        <v>49.0</v>
      </c>
      <c r="AF47" s="2">
        <v>10.0</v>
      </c>
      <c r="AG47" s="2">
        <v>100.0</v>
      </c>
      <c r="AH47" s="2">
        <v>10.0</v>
      </c>
      <c r="AI47" s="2" t="s">
        <v>582</v>
      </c>
      <c r="AJ47" s="2" t="s">
        <v>583</v>
      </c>
      <c r="AK47" s="2">
        <v>10.3321865864201</v>
      </c>
      <c r="AL47" s="2">
        <v>0.383157931075855</v>
      </c>
      <c r="AM47" s="2" t="s">
        <v>179</v>
      </c>
      <c r="AN47" s="2">
        <v>2.899</v>
      </c>
      <c r="AO47" s="2" t="s">
        <v>31</v>
      </c>
      <c r="AP47" s="2">
        <v>0.997641509433962</v>
      </c>
      <c r="AQ47" s="2">
        <v>0.10188679245283</v>
      </c>
      <c r="AR47" s="2">
        <v>0.00235849056603774</v>
      </c>
      <c r="AS47" s="2">
        <v>2.0</v>
      </c>
    </row>
    <row r="48" ht="15.75" customHeight="1">
      <c r="A48" s="2">
        <v>5.0</v>
      </c>
      <c r="B48" s="2">
        <v>1482.645264</v>
      </c>
      <c r="C48" s="2">
        <v>50.0</v>
      </c>
      <c r="D48" s="2">
        <v>1531033.627</v>
      </c>
      <c r="E48" s="2">
        <v>5444161.6</v>
      </c>
      <c r="F48" s="2">
        <v>1482.645264</v>
      </c>
      <c r="G48" s="2" t="s">
        <v>54</v>
      </c>
      <c r="H48" s="2" t="s">
        <v>586</v>
      </c>
      <c r="I48" s="2">
        <v>45391.0</v>
      </c>
      <c r="J48" s="2">
        <v>4.0</v>
      </c>
      <c r="K48" s="2" t="s">
        <v>31</v>
      </c>
      <c r="L48" s="2" t="s">
        <v>54</v>
      </c>
      <c r="M48" s="2">
        <v>1.0</v>
      </c>
      <c r="N48" s="2">
        <v>0.0</v>
      </c>
      <c r="O48" s="2">
        <v>0.0</v>
      </c>
      <c r="P48" s="2">
        <v>0.0</v>
      </c>
      <c r="Q48" s="2">
        <v>0.0</v>
      </c>
      <c r="R48" s="2">
        <v>0.0</v>
      </c>
      <c r="S48" s="2">
        <v>0.0</v>
      </c>
      <c r="T48" s="2">
        <v>100.0</v>
      </c>
      <c r="U48" s="2">
        <v>0.0</v>
      </c>
      <c r="V48" s="2">
        <v>0.0</v>
      </c>
      <c r="W48" s="2">
        <v>100.0</v>
      </c>
      <c r="X48" s="2">
        <v>100.0</v>
      </c>
      <c r="Y48" s="2">
        <v>0.0</v>
      </c>
      <c r="Z48" s="2">
        <v>0.0</v>
      </c>
      <c r="AA48" s="2">
        <v>0.0</v>
      </c>
      <c r="AB48" s="2">
        <v>0.0</v>
      </c>
      <c r="AC48" s="2">
        <v>0.0</v>
      </c>
      <c r="AD48" s="2">
        <v>0.0</v>
      </c>
      <c r="AE48" s="2">
        <v>50.0</v>
      </c>
      <c r="AF48" s="2">
        <v>15.0</v>
      </c>
      <c r="AG48" s="2">
        <v>100.0</v>
      </c>
      <c r="AH48" s="2">
        <v>0.0</v>
      </c>
      <c r="AI48" s="2" t="s">
        <v>588</v>
      </c>
      <c r="AJ48" s="2" t="s">
        <v>590</v>
      </c>
      <c r="AK48" s="2">
        <v>10.2967713919611</v>
      </c>
      <c r="AL48" s="2">
        <v>0.607253653952655</v>
      </c>
      <c r="AM48" s="2" t="s">
        <v>179</v>
      </c>
      <c r="AN48" s="2">
        <v>2.899</v>
      </c>
      <c r="AO48" s="2" t="s">
        <v>31</v>
      </c>
      <c r="AP48" s="2">
        <v>0.997641509433962</v>
      </c>
      <c r="AQ48" s="2">
        <v>0.00235849056603774</v>
      </c>
      <c r="AR48" s="2">
        <v>0.00235849056603774</v>
      </c>
      <c r="AS48" s="2">
        <v>1.0</v>
      </c>
    </row>
    <row r="49" ht="15.75" customHeight="1">
      <c r="A49" s="2">
        <v>5.0</v>
      </c>
      <c r="B49" s="2">
        <v>1485.932251</v>
      </c>
      <c r="C49" s="2">
        <v>51.0</v>
      </c>
      <c r="D49" s="2">
        <v>1531032.637</v>
      </c>
      <c r="E49" s="2">
        <v>5444165.824</v>
      </c>
      <c r="F49" s="2">
        <v>1485.932251</v>
      </c>
      <c r="G49" s="2" t="s">
        <v>54</v>
      </c>
      <c r="H49" s="2" t="s">
        <v>591</v>
      </c>
      <c r="I49" s="2">
        <v>45391.0</v>
      </c>
      <c r="J49" s="2">
        <v>5.0</v>
      </c>
      <c r="K49" s="2" t="s">
        <v>31</v>
      </c>
      <c r="L49" s="2" t="s">
        <v>54</v>
      </c>
      <c r="M49" s="2">
        <v>3.0</v>
      </c>
      <c r="N49" s="2">
        <v>0.0</v>
      </c>
      <c r="O49" s="2">
        <v>0.0</v>
      </c>
      <c r="P49" s="2">
        <v>95.0</v>
      </c>
      <c r="Q49" s="2">
        <v>0.0</v>
      </c>
      <c r="R49" s="2">
        <v>0.0</v>
      </c>
      <c r="S49" s="2">
        <v>0.0</v>
      </c>
      <c r="T49" s="2">
        <v>5.0</v>
      </c>
      <c r="U49" s="2">
        <v>0.0</v>
      </c>
      <c r="V49" s="2">
        <v>0.0</v>
      </c>
      <c r="W49" s="2">
        <v>100.0</v>
      </c>
      <c r="X49" s="2">
        <v>50.0</v>
      </c>
      <c r="Y49" s="2">
        <v>0.0</v>
      </c>
      <c r="Z49" s="2">
        <v>0.0</v>
      </c>
      <c r="AA49" s="2">
        <v>50.0</v>
      </c>
      <c r="AB49" s="2">
        <v>0.0</v>
      </c>
      <c r="AC49" s="2">
        <v>0.0</v>
      </c>
      <c r="AD49" s="2">
        <v>50.0</v>
      </c>
      <c r="AE49" s="2">
        <v>51.0</v>
      </c>
      <c r="AF49" s="2">
        <v>20.0</v>
      </c>
      <c r="AG49" s="2">
        <v>5.0</v>
      </c>
      <c r="AH49" s="2">
        <v>50.0</v>
      </c>
      <c r="AI49" s="2" t="s">
        <v>594</v>
      </c>
      <c r="AJ49" s="2" t="s">
        <v>595</v>
      </c>
      <c r="AK49" s="2">
        <v>14.5024574320155</v>
      </c>
      <c r="AL49" s="2">
        <v>4.20258027840652</v>
      </c>
      <c r="AM49" s="2" t="s">
        <v>179</v>
      </c>
      <c r="AN49" s="2">
        <v>2.899</v>
      </c>
      <c r="AO49" s="2" t="s">
        <v>31</v>
      </c>
      <c r="AP49" s="2">
        <v>0.052122641509434</v>
      </c>
      <c r="AQ49" s="2">
        <v>0.5</v>
      </c>
      <c r="AR49" s="2">
        <v>0.00235849056603774</v>
      </c>
      <c r="AS49" s="2">
        <v>3.0</v>
      </c>
    </row>
    <row r="50" ht="15.75" customHeight="1">
      <c r="A50" s="2">
        <v>5.0</v>
      </c>
      <c r="B50" s="2">
        <v>1484.299561</v>
      </c>
      <c r="C50" s="2">
        <v>52.0</v>
      </c>
      <c r="D50" s="2">
        <v>1531027.272</v>
      </c>
      <c r="E50" s="2">
        <v>5444167.513</v>
      </c>
      <c r="F50" s="2">
        <v>1484.299561</v>
      </c>
      <c r="G50" s="2" t="s">
        <v>54</v>
      </c>
      <c r="H50" s="2" t="s">
        <v>600</v>
      </c>
      <c r="I50" s="2">
        <v>45391.0</v>
      </c>
      <c r="J50" s="2">
        <v>6.0</v>
      </c>
      <c r="K50" s="2" t="s">
        <v>31</v>
      </c>
      <c r="L50" s="2" t="s">
        <v>54</v>
      </c>
      <c r="M50" s="2">
        <v>2.0</v>
      </c>
      <c r="N50" s="2">
        <v>0.0</v>
      </c>
      <c r="O50" s="2">
        <v>0.0</v>
      </c>
      <c r="P50" s="2">
        <v>70.0</v>
      </c>
      <c r="Q50" s="2">
        <v>0.0</v>
      </c>
      <c r="R50" s="2">
        <v>0.0</v>
      </c>
      <c r="S50" s="2">
        <v>0.0</v>
      </c>
      <c r="T50" s="2">
        <v>0.0</v>
      </c>
      <c r="U50" s="2">
        <v>30.0</v>
      </c>
      <c r="V50" s="2">
        <v>0.0</v>
      </c>
      <c r="W50" s="2">
        <v>100.0</v>
      </c>
      <c r="X50" s="2">
        <v>70.0</v>
      </c>
      <c r="Y50" s="2">
        <v>0.0</v>
      </c>
      <c r="Z50" s="2">
        <v>0.0</v>
      </c>
      <c r="AA50" s="2">
        <v>30.0</v>
      </c>
      <c r="AB50" s="2">
        <v>0.0</v>
      </c>
      <c r="AC50" s="2">
        <v>0.0</v>
      </c>
      <c r="AD50" s="2">
        <v>0.0</v>
      </c>
      <c r="AE50" s="2">
        <v>52.0</v>
      </c>
      <c r="AF50" s="2">
        <v>25.0</v>
      </c>
      <c r="AG50" s="2">
        <v>30.0</v>
      </c>
      <c r="AH50" s="2">
        <v>30.0</v>
      </c>
      <c r="AI50" s="2" t="s">
        <v>603</v>
      </c>
      <c r="AJ50" s="2" t="s">
        <v>604</v>
      </c>
      <c r="AK50" s="2">
        <v>18.7504927521742</v>
      </c>
      <c r="AL50" s="2">
        <v>4.55613706957473</v>
      </c>
      <c r="AM50" s="2" t="s">
        <v>179</v>
      </c>
      <c r="AN50" s="2">
        <v>2.899</v>
      </c>
      <c r="AO50" s="2" t="s">
        <v>31</v>
      </c>
      <c r="AP50" s="2">
        <v>0.300943396226415</v>
      </c>
      <c r="AQ50" s="2">
        <v>0.300943396226415</v>
      </c>
      <c r="AR50" s="2">
        <v>0.00235849056603774</v>
      </c>
      <c r="AS50" s="2">
        <v>2.0</v>
      </c>
    </row>
    <row r="51" ht="15.75" customHeight="1">
      <c r="A51" s="2">
        <v>5.0</v>
      </c>
      <c r="B51" s="2">
        <v>1486.378296</v>
      </c>
      <c r="C51" s="2">
        <v>53.0</v>
      </c>
      <c r="D51" s="2">
        <v>1531024.701</v>
      </c>
      <c r="E51" s="2">
        <v>5444174.743</v>
      </c>
      <c r="F51" s="2">
        <v>1486.378296</v>
      </c>
      <c r="G51" s="2" t="s">
        <v>54</v>
      </c>
      <c r="H51" s="2" t="s">
        <v>609</v>
      </c>
      <c r="I51" s="2">
        <v>45391.0</v>
      </c>
      <c r="J51" s="2">
        <v>7.0</v>
      </c>
      <c r="K51" s="2" t="s">
        <v>31</v>
      </c>
      <c r="L51" s="2" t="s">
        <v>54</v>
      </c>
      <c r="M51" s="2">
        <v>2.0</v>
      </c>
      <c r="N51" s="2">
        <v>0.0</v>
      </c>
      <c r="O51" s="2">
        <v>0.0</v>
      </c>
      <c r="P51" s="2">
        <v>60.0</v>
      </c>
      <c r="Q51" s="2">
        <v>0.0</v>
      </c>
      <c r="R51" s="2">
        <v>10.0</v>
      </c>
      <c r="S51" s="2">
        <v>20.0</v>
      </c>
      <c r="T51" s="2">
        <v>0.0</v>
      </c>
      <c r="U51" s="2">
        <v>10.0</v>
      </c>
      <c r="V51" s="2">
        <v>0.0</v>
      </c>
      <c r="W51" s="2">
        <v>100.0</v>
      </c>
      <c r="X51" s="2">
        <v>70.0</v>
      </c>
      <c r="Y51" s="2">
        <v>0.0</v>
      </c>
      <c r="Z51" s="2">
        <v>0.0</v>
      </c>
      <c r="AA51" s="2">
        <v>30.0</v>
      </c>
      <c r="AB51" s="2">
        <v>0.0</v>
      </c>
      <c r="AC51" s="2">
        <v>0.0</v>
      </c>
      <c r="AD51" s="2">
        <v>0.0</v>
      </c>
      <c r="AE51" s="2">
        <v>53.0</v>
      </c>
      <c r="AF51" s="2">
        <v>30.0</v>
      </c>
      <c r="AG51" s="2">
        <v>40.0</v>
      </c>
      <c r="AH51" s="2">
        <v>30.0</v>
      </c>
      <c r="AI51" s="2" t="s">
        <v>613</v>
      </c>
      <c r="AJ51" s="2" t="s">
        <v>615</v>
      </c>
      <c r="AK51" s="2">
        <v>26.16849812605</v>
      </c>
      <c r="AL51" s="2">
        <v>6.2768089027619</v>
      </c>
      <c r="AM51" s="2" t="s">
        <v>179</v>
      </c>
      <c r="AN51" s="2">
        <v>2.899</v>
      </c>
      <c r="AO51" s="2" t="s">
        <v>31</v>
      </c>
      <c r="AP51" s="2">
        <v>0.400471698113208</v>
      </c>
      <c r="AQ51" s="2">
        <v>0.300943396226415</v>
      </c>
      <c r="AR51" s="2">
        <v>0.00235849056603774</v>
      </c>
      <c r="AS51" s="2">
        <v>2.0</v>
      </c>
    </row>
    <row r="52" ht="15.75" customHeight="1">
      <c r="A52" s="2">
        <v>5.0</v>
      </c>
      <c r="B52" s="2">
        <v>1488.149536</v>
      </c>
      <c r="C52" s="2">
        <v>54.0</v>
      </c>
      <c r="D52" s="2">
        <v>1531014.798</v>
      </c>
      <c r="E52" s="2">
        <v>5444175.229</v>
      </c>
      <c r="F52" s="2">
        <v>1488.149536</v>
      </c>
      <c r="G52" s="2" t="s">
        <v>54</v>
      </c>
      <c r="H52" s="2" t="s">
        <v>618</v>
      </c>
      <c r="I52" s="2">
        <v>45391.0</v>
      </c>
      <c r="J52" s="2">
        <v>8.0</v>
      </c>
      <c r="K52" s="2" t="s">
        <v>31</v>
      </c>
      <c r="L52" s="2" t="s">
        <v>54</v>
      </c>
      <c r="M52" s="2">
        <v>3.0</v>
      </c>
      <c r="N52" s="2">
        <v>0.0</v>
      </c>
      <c r="O52" s="2">
        <v>0.0</v>
      </c>
      <c r="P52" s="2">
        <v>95.0</v>
      </c>
      <c r="Q52" s="2">
        <v>0.0</v>
      </c>
      <c r="R52" s="2">
        <v>0.0</v>
      </c>
      <c r="S52" s="2">
        <v>0.0</v>
      </c>
      <c r="T52" s="2">
        <v>0.0</v>
      </c>
      <c r="U52" s="2">
        <v>5.0</v>
      </c>
      <c r="V52" s="2">
        <v>0.0</v>
      </c>
      <c r="W52" s="2">
        <v>100.0</v>
      </c>
      <c r="X52" s="2">
        <v>50.0</v>
      </c>
      <c r="Y52" s="2">
        <v>0.0</v>
      </c>
      <c r="Z52" s="2">
        <v>0.0</v>
      </c>
      <c r="AA52" s="2">
        <v>50.0</v>
      </c>
      <c r="AB52" s="2">
        <v>0.0</v>
      </c>
      <c r="AC52" s="2">
        <v>0.0</v>
      </c>
      <c r="AD52" s="2">
        <v>50.0</v>
      </c>
      <c r="AE52" s="2">
        <v>54.0</v>
      </c>
      <c r="AF52" s="2">
        <v>35.0</v>
      </c>
      <c r="AG52" s="2">
        <v>5.0</v>
      </c>
      <c r="AH52" s="2">
        <v>50.0</v>
      </c>
      <c r="AI52" s="2" t="s">
        <v>622</v>
      </c>
      <c r="AJ52" s="2" t="s">
        <v>623</v>
      </c>
      <c r="AK52" s="2">
        <v>32.2593891263668</v>
      </c>
      <c r="AL52" s="2">
        <v>15.625851817034</v>
      </c>
      <c r="AM52" s="2" t="s">
        <v>179</v>
      </c>
      <c r="AN52" s="2">
        <v>2.899</v>
      </c>
      <c r="AO52" s="2" t="s">
        <v>31</v>
      </c>
      <c r="AP52" s="2">
        <v>0.052122641509434</v>
      </c>
      <c r="AQ52" s="2">
        <v>0.5</v>
      </c>
      <c r="AR52" s="2">
        <v>0.00235849056603774</v>
      </c>
      <c r="AS52" s="2">
        <v>3.0</v>
      </c>
    </row>
    <row r="53" ht="15.75" customHeight="1">
      <c r="A53" s="2">
        <v>5.0</v>
      </c>
      <c r="B53" s="2">
        <v>1485.898071</v>
      </c>
      <c r="C53" s="2">
        <v>55.0</v>
      </c>
      <c r="D53" s="2">
        <v>1531020.274</v>
      </c>
      <c r="E53" s="2">
        <v>5444179.981</v>
      </c>
      <c r="F53" s="2">
        <v>1485.898071</v>
      </c>
      <c r="G53" s="2" t="s">
        <v>54</v>
      </c>
      <c r="H53" s="2" t="s">
        <v>626</v>
      </c>
      <c r="I53" s="2">
        <v>45391.0</v>
      </c>
      <c r="J53" s="2">
        <v>9.0</v>
      </c>
      <c r="K53" s="2" t="s">
        <v>31</v>
      </c>
      <c r="L53" s="2" t="s">
        <v>54</v>
      </c>
      <c r="M53" s="2">
        <v>1.0</v>
      </c>
      <c r="N53" s="2">
        <v>0.0</v>
      </c>
      <c r="O53" s="2">
        <v>0.0</v>
      </c>
      <c r="P53" s="2">
        <v>40.0</v>
      </c>
      <c r="Q53" s="2">
        <v>50.0</v>
      </c>
      <c r="R53" s="2">
        <v>10.0</v>
      </c>
      <c r="S53" s="2">
        <v>0.0</v>
      </c>
      <c r="T53" s="2">
        <v>0.0</v>
      </c>
      <c r="U53" s="2">
        <v>0.0</v>
      </c>
      <c r="V53" s="2">
        <v>0.0</v>
      </c>
      <c r="W53" s="2">
        <v>100.0</v>
      </c>
      <c r="X53" s="2">
        <v>100.0</v>
      </c>
      <c r="Y53" s="2">
        <v>0.0</v>
      </c>
      <c r="Z53" s="2">
        <v>0.0</v>
      </c>
      <c r="AA53" s="2">
        <v>0.0</v>
      </c>
      <c r="AB53" s="2">
        <v>0.0</v>
      </c>
      <c r="AC53" s="2">
        <v>0.0</v>
      </c>
      <c r="AD53" s="2">
        <v>0.0</v>
      </c>
      <c r="AE53" s="2">
        <v>55.0</v>
      </c>
      <c r="AF53" s="2">
        <v>40.0</v>
      </c>
      <c r="AG53" s="2">
        <v>10.0</v>
      </c>
      <c r="AH53" s="2">
        <v>0.0</v>
      </c>
      <c r="AI53" s="2" t="s">
        <v>629</v>
      </c>
      <c r="AJ53" s="2" t="s">
        <v>630</v>
      </c>
      <c r="AK53" s="2">
        <v>32.9786677558257</v>
      </c>
      <c r="AL53" s="2">
        <v>13.0108378284976</v>
      </c>
      <c r="AM53" s="2" t="s">
        <v>179</v>
      </c>
      <c r="AN53" s="2">
        <v>2.899</v>
      </c>
      <c r="AO53" s="2" t="s">
        <v>31</v>
      </c>
      <c r="AP53" s="2">
        <v>0.10188679245283</v>
      </c>
      <c r="AQ53" s="2">
        <v>0.00235849056603774</v>
      </c>
      <c r="AR53" s="2">
        <v>0.00235849056603774</v>
      </c>
      <c r="AS53" s="2">
        <v>1.0</v>
      </c>
    </row>
    <row r="54" ht="15.75" customHeight="1">
      <c r="A54" s="2">
        <v>5.0</v>
      </c>
      <c r="B54" s="2">
        <v>1487.887085</v>
      </c>
      <c r="C54" s="2">
        <v>56.0</v>
      </c>
      <c r="D54" s="2">
        <v>1531017.439</v>
      </c>
      <c r="E54" s="2">
        <v>5444184.324</v>
      </c>
      <c r="F54" s="2">
        <v>1487.887085</v>
      </c>
      <c r="G54" s="2" t="s">
        <v>54</v>
      </c>
      <c r="H54" s="2" t="s">
        <v>634</v>
      </c>
      <c r="I54" s="2">
        <v>45391.0</v>
      </c>
      <c r="J54" s="2">
        <v>10.0</v>
      </c>
      <c r="K54" s="2" t="s">
        <v>31</v>
      </c>
      <c r="L54" s="2" t="s">
        <v>54</v>
      </c>
      <c r="M54" s="2">
        <v>1.0</v>
      </c>
      <c r="N54" s="2">
        <v>0.0</v>
      </c>
      <c r="O54" s="2">
        <v>0.0</v>
      </c>
      <c r="P54" s="2">
        <v>10.0</v>
      </c>
      <c r="Q54" s="2">
        <v>90.0</v>
      </c>
      <c r="R54" s="2">
        <v>0.0</v>
      </c>
      <c r="S54" s="2">
        <v>0.0</v>
      </c>
      <c r="T54" s="2">
        <v>0.0</v>
      </c>
      <c r="U54" s="2">
        <v>0.0</v>
      </c>
      <c r="V54" s="2">
        <v>0.0</v>
      </c>
      <c r="W54" s="2">
        <v>100.0</v>
      </c>
      <c r="X54" s="2">
        <v>100.0</v>
      </c>
      <c r="Y54" s="2">
        <v>0.0</v>
      </c>
      <c r="Z54" s="2">
        <v>0.0</v>
      </c>
      <c r="AA54" s="2">
        <v>0.0</v>
      </c>
      <c r="AB54" s="2">
        <v>0.0</v>
      </c>
      <c r="AC54" s="2">
        <v>0.0</v>
      </c>
      <c r="AD54" s="2">
        <v>0.0</v>
      </c>
      <c r="AE54" s="2">
        <v>56.0</v>
      </c>
      <c r="AF54" s="2">
        <v>45.0</v>
      </c>
      <c r="AG54" s="2">
        <v>0.0</v>
      </c>
      <c r="AH54" s="2">
        <v>0.0</v>
      </c>
      <c r="AI54" s="2" t="s">
        <v>635</v>
      </c>
      <c r="AJ54" s="2" t="s">
        <v>636</v>
      </c>
      <c r="AK54" s="2">
        <v>38.1643598194167</v>
      </c>
      <c r="AL54" s="2">
        <v>18.0769657024284</v>
      </c>
      <c r="AM54" s="2" t="s">
        <v>179</v>
      </c>
      <c r="AN54" s="2">
        <v>2.899</v>
      </c>
      <c r="AO54" s="2" t="s">
        <v>31</v>
      </c>
      <c r="AP54" s="2">
        <v>0.00235849056603774</v>
      </c>
      <c r="AQ54" s="2">
        <v>0.00235849056603774</v>
      </c>
      <c r="AR54" s="2">
        <v>0.00235849056603774</v>
      </c>
      <c r="AS54" s="2">
        <v>1.0</v>
      </c>
    </row>
    <row r="55" ht="15.75" customHeight="1">
      <c r="A55" s="2">
        <v>5.0</v>
      </c>
      <c r="B55" s="2">
        <v>1489.071777</v>
      </c>
      <c r="C55" s="2">
        <v>57.0</v>
      </c>
      <c r="D55" s="2">
        <v>1531018.032</v>
      </c>
      <c r="E55" s="2">
        <v>5444185.766</v>
      </c>
      <c r="F55" s="2">
        <v>1489.071777</v>
      </c>
      <c r="G55" s="2" t="s">
        <v>54</v>
      </c>
      <c r="H55" s="2" t="s">
        <v>641</v>
      </c>
      <c r="I55" s="2">
        <v>45391.0</v>
      </c>
      <c r="J55" s="2">
        <v>11.0</v>
      </c>
      <c r="K55" s="2" t="s">
        <v>31</v>
      </c>
      <c r="L55" s="2" t="s">
        <v>54</v>
      </c>
      <c r="M55" s="2">
        <v>1.0</v>
      </c>
      <c r="N55" s="2">
        <v>0.0</v>
      </c>
      <c r="O55" s="2">
        <v>0.0</v>
      </c>
      <c r="P55" s="2">
        <v>10.0</v>
      </c>
      <c r="Q55" s="2">
        <v>90.0</v>
      </c>
      <c r="R55" s="2">
        <v>0.0</v>
      </c>
      <c r="S55" s="2">
        <v>0.0</v>
      </c>
      <c r="T55" s="2">
        <v>0.0</v>
      </c>
      <c r="U55" s="2">
        <v>0.0</v>
      </c>
      <c r="V55" s="2">
        <v>0.0</v>
      </c>
      <c r="W55" s="2">
        <v>100.0</v>
      </c>
      <c r="X55" s="2">
        <v>100.0</v>
      </c>
      <c r="Y55" s="2">
        <v>0.0</v>
      </c>
      <c r="Z55" s="2">
        <v>0.0</v>
      </c>
      <c r="AA55" s="2">
        <v>0.0</v>
      </c>
      <c r="AB55" s="2">
        <v>0.0</v>
      </c>
      <c r="AC55" s="2">
        <v>0.0</v>
      </c>
      <c r="AD55" s="2">
        <v>0.0</v>
      </c>
      <c r="AE55" s="2">
        <v>57.0</v>
      </c>
      <c r="AF55" s="2">
        <v>50.0</v>
      </c>
      <c r="AG55" s="2">
        <v>0.0</v>
      </c>
      <c r="AH55" s="2">
        <v>0.0</v>
      </c>
      <c r="AI55" s="2" t="s">
        <v>646</v>
      </c>
      <c r="AJ55" s="2" t="s">
        <v>647</v>
      </c>
      <c r="AK55" s="2">
        <v>39.0492946147183</v>
      </c>
      <c r="AL55" s="2">
        <v>18.7665004730364</v>
      </c>
      <c r="AM55" s="2" t="s">
        <v>179</v>
      </c>
      <c r="AN55" s="2">
        <v>2.899</v>
      </c>
      <c r="AO55" s="2" t="s">
        <v>31</v>
      </c>
      <c r="AP55" s="2">
        <v>0.00235849056603774</v>
      </c>
      <c r="AQ55" s="2">
        <v>0.00235849056603774</v>
      </c>
      <c r="AR55" s="2">
        <v>0.00235849056603774</v>
      </c>
      <c r="AS55" s="2">
        <v>1.0</v>
      </c>
    </row>
    <row r="56" ht="15.75" customHeight="1">
      <c r="A56" s="2">
        <v>6.0</v>
      </c>
      <c r="B56" s="2">
        <v>1621.945557</v>
      </c>
      <c r="C56" s="2">
        <v>75.0</v>
      </c>
      <c r="D56" s="2">
        <v>1530177.155</v>
      </c>
      <c r="E56" s="2">
        <v>5442630.015</v>
      </c>
      <c r="F56" s="2">
        <v>1621.945557</v>
      </c>
      <c r="G56" s="2" t="s">
        <v>60</v>
      </c>
      <c r="H56" s="2" t="s">
        <v>649</v>
      </c>
      <c r="I56" s="2">
        <v>45391.0</v>
      </c>
      <c r="J56" s="2">
        <v>1.0</v>
      </c>
      <c r="K56" s="2" t="s">
        <v>31</v>
      </c>
      <c r="L56" s="2" t="s">
        <v>650</v>
      </c>
      <c r="M56" s="2">
        <v>2.0</v>
      </c>
      <c r="N56" s="2">
        <v>10.0</v>
      </c>
      <c r="O56" s="2">
        <v>0.0</v>
      </c>
      <c r="P56" s="2">
        <v>0.0</v>
      </c>
      <c r="Q56" s="2">
        <v>0.0</v>
      </c>
      <c r="R56" s="2">
        <v>0.0</v>
      </c>
      <c r="S56" s="2">
        <v>20.0</v>
      </c>
      <c r="T56" s="2">
        <v>40.0</v>
      </c>
      <c r="U56" s="2">
        <v>10.0</v>
      </c>
      <c r="V56" s="2">
        <v>20.0</v>
      </c>
      <c r="W56" s="2">
        <v>100.0</v>
      </c>
      <c r="X56" s="2">
        <v>60.0</v>
      </c>
      <c r="Y56" s="2">
        <v>0.0</v>
      </c>
      <c r="Z56" s="2">
        <v>0.0</v>
      </c>
      <c r="AA56" s="2">
        <v>40.0</v>
      </c>
      <c r="AB56" s="2">
        <v>0.0</v>
      </c>
      <c r="AC56" s="2">
        <v>0.0</v>
      </c>
      <c r="AD56" s="2">
        <v>0.0</v>
      </c>
      <c r="AE56" s="2">
        <v>75.0</v>
      </c>
      <c r="AF56" s="2">
        <v>0.0</v>
      </c>
      <c r="AG56" s="2">
        <v>90.0</v>
      </c>
      <c r="AH56" s="2">
        <v>40.0</v>
      </c>
      <c r="AI56" s="2" t="s">
        <v>652</v>
      </c>
      <c r="AJ56" s="2" t="s">
        <v>654</v>
      </c>
      <c r="AK56" s="2">
        <v>7.50112979144497</v>
      </c>
      <c r="AL56" s="2">
        <v>1.82936109046503</v>
      </c>
      <c r="AM56" s="2" t="s">
        <v>74</v>
      </c>
      <c r="AN56" s="2">
        <v>1.911</v>
      </c>
      <c r="AO56" s="2" t="s">
        <v>31</v>
      </c>
      <c r="AP56" s="2">
        <v>0.89811320754717</v>
      </c>
      <c r="AQ56" s="2">
        <v>0.400471698113208</v>
      </c>
      <c r="AR56" s="2">
        <v>0.10188679245283</v>
      </c>
      <c r="AS56" s="2">
        <v>2.0</v>
      </c>
    </row>
    <row r="57" ht="15.75" customHeight="1">
      <c r="A57" s="2">
        <v>6.0</v>
      </c>
      <c r="B57" s="2">
        <v>1613.480347</v>
      </c>
      <c r="C57" s="2">
        <v>76.0</v>
      </c>
      <c r="D57" s="2">
        <v>1530181.777</v>
      </c>
      <c r="E57" s="2">
        <v>5442631.551</v>
      </c>
      <c r="F57" s="2">
        <v>1613.480347</v>
      </c>
      <c r="G57" s="2" t="s">
        <v>60</v>
      </c>
      <c r="H57" s="2" t="s">
        <v>655</v>
      </c>
      <c r="I57" s="2">
        <v>45391.0</v>
      </c>
      <c r="J57" s="2">
        <v>2.0</v>
      </c>
      <c r="K57" s="2" t="s">
        <v>31</v>
      </c>
      <c r="L57" s="2" t="s">
        <v>650</v>
      </c>
      <c r="M57" s="2">
        <v>3.0</v>
      </c>
      <c r="N57" s="2">
        <v>20.0</v>
      </c>
      <c r="O57" s="2">
        <v>0.0</v>
      </c>
      <c r="P57" s="2">
        <v>0.0</v>
      </c>
      <c r="Q57" s="2">
        <v>0.0</v>
      </c>
      <c r="R57" s="2">
        <v>0.0</v>
      </c>
      <c r="S57" s="2">
        <v>30.0</v>
      </c>
      <c r="T57" s="2">
        <v>30.0</v>
      </c>
      <c r="U57" s="2">
        <v>0.0</v>
      </c>
      <c r="V57" s="2">
        <v>20.0</v>
      </c>
      <c r="W57" s="2">
        <v>100.0</v>
      </c>
      <c r="X57" s="2">
        <v>60.0</v>
      </c>
      <c r="Y57" s="2">
        <v>10.0</v>
      </c>
      <c r="Z57" s="2">
        <v>0.0</v>
      </c>
      <c r="AA57" s="2">
        <v>30.0</v>
      </c>
      <c r="AB57" s="2">
        <v>0.0</v>
      </c>
      <c r="AC57" s="2">
        <v>0.0</v>
      </c>
      <c r="AD57" s="2">
        <v>0.0</v>
      </c>
      <c r="AE57" s="2">
        <v>76.0</v>
      </c>
      <c r="AF57" s="2">
        <v>5.0</v>
      </c>
      <c r="AG57" s="2">
        <v>80.0</v>
      </c>
      <c r="AH57" s="2">
        <v>40.0</v>
      </c>
      <c r="AI57" s="2" t="s">
        <v>658</v>
      </c>
      <c r="AJ57" s="2" t="s">
        <v>659</v>
      </c>
      <c r="AK57" s="2">
        <v>7.1902032824353</v>
      </c>
      <c r="AL57" s="2">
        <v>5.02714173260927</v>
      </c>
      <c r="AM57" s="2" t="s">
        <v>74</v>
      </c>
      <c r="AN57" s="2">
        <v>1.911</v>
      </c>
      <c r="AO57" s="2" t="s">
        <v>31</v>
      </c>
      <c r="AP57" s="2">
        <v>0.798584905660377</v>
      </c>
      <c r="AQ57" s="2">
        <v>0.400471698113208</v>
      </c>
      <c r="AR57" s="2">
        <v>0.201415094339623</v>
      </c>
      <c r="AS57" s="2">
        <v>3.0</v>
      </c>
    </row>
    <row r="58" ht="15.75" customHeight="1">
      <c r="A58" s="2">
        <v>6.0</v>
      </c>
      <c r="B58" s="2">
        <v>1612.578125</v>
      </c>
      <c r="C58" s="2">
        <v>77.0</v>
      </c>
      <c r="D58" s="2">
        <v>1530185.707</v>
      </c>
      <c r="E58" s="2">
        <v>5442628.092</v>
      </c>
      <c r="F58" s="2">
        <v>1612.578125</v>
      </c>
      <c r="G58" s="2" t="s">
        <v>60</v>
      </c>
      <c r="H58" s="2" t="s">
        <v>660</v>
      </c>
      <c r="I58" s="2">
        <v>45391.0</v>
      </c>
      <c r="J58" s="2">
        <v>3.0</v>
      </c>
      <c r="K58" s="2" t="s">
        <v>31</v>
      </c>
      <c r="L58" s="2" t="s">
        <v>650</v>
      </c>
      <c r="M58" s="2">
        <v>3.0</v>
      </c>
      <c r="N58" s="2">
        <v>25.0</v>
      </c>
      <c r="O58" s="2">
        <v>0.0</v>
      </c>
      <c r="P58" s="2">
        <v>0.0</v>
      </c>
      <c r="Q58" s="2">
        <v>0.0</v>
      </c>
      <c r="R58" s="2">
        <v>20.0</v>
      </c>
      <c r="S58" s="2">
        <v>40.0</v>
      </c>
      <c r="T58" s="2">
        <v>15.0</v>
      </c>
      <c r="U58" s="2">
        <v>0.0</v>
      </c>
      <c r="V58" s="2">
        <v>0.0</v>
      </c>
      <c r="W58" s="2">
        <v>100.0</v>
      </c>
      <c r="X58" s="2">
        <v>55.0</v>
      </c>
      <c r="Y58" s="2">
        <v>15.0</v>
      </c>
      <c r="Z58" s="2">
        <v>0.0</v>
      </c>
      <c r="AA58" s="2">
        <v>30.0</v>
      </c>
      <c r="AB58" s="2">
        <v>0.0</v>
      </c>
      <c r="AC58" s="2">
        <v>0.0</v>
      </c>
      <c r="AD58" s="2">
        <v>0.0</v>
      </c>
      <c r="AE58" s="2">
        <v>77.0</v>
      </c>
      <c r="AF58" s="2">
        <v>10.0</v>
      </c>
      <c r="AG58" s="2">
        <v>75.0</v>
      </c>
      <c r="AH58" s="2">
        <v>45.0</v>
      </c>
      <c r="AI58" s="2" t="s">
        <v>663</v>
      </c>
      <c r="AJ58" s="2" t="s">
        <v>664</v>
      </c>
      <c r="AK58" s="2">
        <v>11.6833899780258</v>
      </c>
      <c r="AL58" s="2">
        <v>4.53621031265369</v>
      </c>
      <c r="AM58" s="2" t="s">
        <v>55</v>
      </c>
      <c r="AN58" s="2">
        <v>1.911</v>
      </c>
      <c r="AO58" s="2" t="s">
        <v>31</v>
      </c>
      <c r="AP58" s="2">
        <v>0.748820754716981</v>
      </c>
      <c r="AQ58" s="2">
        <v>0.450235849056604</v>
      </c>
      <c r="AR58" s="2">
        <v>0.251179245283019</v>
      </c>
      <c r="AS58" s="2">
        <v>3.0</v>
      </c>
    </row>
    <row r="59" ht="15.75" customHeight="1">
      <c r="A59" s="2">
        <v>6.0</v>
      </c>
      <c r="B59" s="2">
        <v>1612.528931</v>
      </c>
      <c r="C59" s="2">
        <v>78.0</v>
      </c>
      <c r="D59" s="2">
        <v>1530185.089</v>
      </c>
      <c r="E59" s="2">
        <v>5442620.653</v>
      </c>
      <c r="F59" s="2">
        <v>1612.528931</v>
      </c>
      <c r="G59" s="2" t="s">
        <v>60</v>
      </c>
      <c r="H59" s="2" t="s">
        <v>665</v>
      </c>
      <c r="I59" s="2">
        <v>45391.0</v>
      </c>
      <c r="J59" s="2">
        <v>4.0</v>
      </c>
      <c r="K59" s="2" t="s">
        <v>31</v>
      </c>
      <c r="L59" s="2" t="s">
        <v>650</v>
      </c>
      <c r="M59" s="2">
        <v>3.0</v>
      </c>
      <c r="N59" s="2">
        <v>30.0</v>
      </c>
      <c r="O59" s="2">
        <v>0.0</v>
      </c>
      <c r="P59" s="2">
        <v>0.0</v>
      </c>
      <c r="Q59" s="2">
        <v>0.0</v>
      </c>
      <c r="R59" s="2">
        <v>0.0</v>
      </c>
      <c r="S59" s="2">
        <v>30.0</v>
      </c>
      <c r="T59" s="2">
        <v>0.0</v>
      </c>
      <c r="U59" s="2">
        <v>20.0</v>
      </c>
      <c r="V59" s="2">
        <v>20.0</v>
      </c>
      <c r="W59" s="2">
        <v>100.0</v>
      </c>
      <c r="X59" s="2">
        <v>40.0</v>
      </c>
      <c r="Y59" s="2">
        <v>30.0</v>
      </c>
      <c r="Z59" s="2">
        <v>0.0</v>
      </c>
      <c r="AA59" s="2">
        <v>30.0</v>
      </c>
      <c r="AB59" s="2">
        <v>0.0</v>
      </c>
      <c r="AC59" s="2">
        <v>0.0</v>
      </c>
      <c r="AD59" s="2">
        <v>0.0</v>
      </c>
      <c r="AE59" s="2">
        <v>78.0</v>
      </c>
      <c r="AF59" s="2">
        <v>15.0</v>
      </c>
      <c r="AG59" s="2">
        <v>70.0</v>
      </c>
      <c r="AH59" s="2">
        <v>60.0</v>
      </c>
      <c r="AI59" s="2" t="s">
        <v>669</v>
      </c>
      <c r="AJ59" s="2" t="s">
        <v>671</v>
      </c>
      <c r="AK59" s="2">
        <v>18.5728828708109</v>
      </c>
      <c r="AL59" s="2">
        <v>9.73367253438311</v>
      </c>
      <c r="AM59" s="2" t="s">
        <v>55</v>
      </c>
      <c r="AN59" s="2">
        <v>1.911</v>
      </c>
      <c r="AO59" s="2" t="s">
        <v>31</v>
      </c>
      <c r="AP59" s="2">
        <v>0.699056603773585</v>
      </c>
      <c r="AQ59" s="2">
        <v>0.599528301886792</v>
      </c>
      <c r="AR59" s="2">
        <v>0.300943396226415</v>
      </c>
      <c r="AS59" s="2">
        <v>3.0</v>
      </c>
    </row>
    <row r="60" ht="15.75" customHeight="1">
      <c r="A60" s="2">
        <v>6.0</v>
      </c>
      <c r="B60" s="2">
        <v>1612.393188</v>
      </c>
      <c r="C60" s="2">
        <v>79.0</v>
      </c>
      <c r="D60" s="2">
        <v>1530184.653</v>
      </c>
      <c r="E60" s="2">
        <v>5442616.657</v>
      </c>
      <c r="F60" s="2">
        <v>1612.393188</v>
      </c>
      <c r="G60" s="2" t="s">
        <v>60</v>
      </c>
      <c r="H60" s="2" t="s">
        <v>672</v>
      </c>
      <c r="I60" s="2">
        <v>45391.0</v>
      </c>
      <c r="J60" s="2">
        <v>5.0</v>
      </c>
      <c r="K60" s="2" t="s">
        <v>31</v>
      </c>
      <c r="L60" s="2" t="s">
        <v>650</v>
      </c>
      <c r="M60" s="2">
        <v>4.0</v>
      </c>
      <c r="N60" s="2">
        <v>40.0</v>
      </c>
      <c r="O60" s="2">
        <v>0.0</v>
      </c>
      <c r="P60" s="2">
        <v>0.0</v>
      </c>
      <c r="Q60" s="2">
        <v>0.0</v>
      </c>
      <c r="R60" s="2">
        <v>10.0</v>
      </c>
      <c r="S60" s="2">
        <v>30.0</v>
      </c>
      <c r="T60" s="2">
        <v>0.0</v>
      </c>
      <c r="U60" s="2">
        <v>20.0</v>
      </c>
      <c r="V60" s="2">
        <v>0.0</v>
      </c>
      <c r="W60" s="2">
        <v>100.0</v>
      </c>
      <c r="X60" s="2">
        <v>60.0</v>
      </c>
      <c r="Y60" s="2">
        <v>0.0</v>
      </c>
      <c r="Z60" s="2">
        <v>0.0</v>
      </c>
      <c r="AA60" s="2">
        <v>40.0</v>
      </c>
      <c r="AB60" s="2">
        <v>0.0</v>
      </c>
      <c r="AC60" s="2">
        <v>0.0</v>
      </c>
      <c r="AD60" s="2">
        <v>0.0</v>
      </c>
      <c r="AE60" s="2">
        <v>79.0</v>
      </c>
      <c r="AF60" s="2">
        <v>20.0</v>
      </c>
      <c r="AG60" s="2">
        <v>60.0</v>
      </c>
      <c r="AH60" s="2">
        <v>40.0</v>
      </c>
      <c r="AI60" s="2" t="s">
        <v>675</v>
      </c>
      <c r="AJ60" s="2" t="s">
        <v>676</v>
      </c>
      <c r="AK60" s="2">
        <v>22.3242333351405</v>
      </c>
      <c r="AL60" s="2">
        <v>9.99246581189181</v>
      </c>
      <c r="AM60" s="2" t="s">
        <v>55</v>
      </c>
      <c r="AN60" s="2">
        <v>1.911</v>
      </c>
      <c r="AO60" s="2" t="s">
        <v>31</v>
      </c>
      <c r="AP60" s="2">
        <v>0.599528301886792</v>
      </c>
      <c r="AQ60" s="2">
        <v>0.400471698113208</v>
      </c>
      <c r="AR60" s="2">
        <v>0.400471698113208</v>
      </c>
      <c r="AS60" s="2">
        <v>4.0</v>
      </c>
    </row>
    <row r="61" ht="15.75" customHeight="1">
      <c r="A61" s="2">
        <v>6.0</v>
      </c>
      <c r="B61" s="2">
        <v>1612.057495</v>
      </c>
      <c r="C61" s="2">
        <v>80.0</v>
      </c>
      <c r="D61" s="2">
        <v>1530180.862</v>
      </c>
      <c r="E61" s="2">
        <v>5442613.23</v>
      </c>
      <c r="F61" s="2">
        <v>1612.057495</v>
      </c>
      <c r="G61" s="2" t="s">
        <v>60</v>
      </c>
      <c r="H61" s="2" t="s">
        <v>680</v>
      </c>
      <c r="I61" s="2">
        <v>45391.0</v>
      </c>
      <c r="J61" s="2">
        <v>6.0</v>
      </c>
      <c r="K61" s="2" t="s">
        <v>31</v>
      </c>
      <c r="L61" s="2" t="s">
        <v>650</v>
      </c>
      <c r="M61" s="2">
        <v>3.0</v>
      </c>
      <c r="N61" s="2">
        <v>0.0</v>
      </c>
      <c r="O61" s="2">
        <v>0.0</v>
      </c>
      <c r="P61" s="2">
        <v>10.0</v>
      </c>
      <c r="Q61" s="2">
        <v>0.0</v>
      </c>
      <c r="R61" s="2">
        <v>0.0</v>
      </c>
      <c r="S61" s="2">
        <v>0.0</v>
      </c>
      <c r="T61" s="2">
        <v>20.0</v>
      </c>
      <c r="U61" s="2">
        <v>70.0</v>
      </c>
      <c r="V61" s="2">
        <v>0.0</v>
      </c>
      <c r="W61" s="2">
        <v>100.0</v>
      </c>
      <c r="X61" s="2">
        <v>50.0</v>
      </c>
      <c r="Y61" s="2">
        <v>0.0</v>
      </c>
      <c r="Z61" s="2">
        <v>0.0</v>
      </c>
      <c r="AA61" s="2">
        <v>50.0</v>
      </c>
      <c r="AB61" s="2">
        <v>0.0</v>
      </c>
      <c r="AC61" s="2">
        <v>0.0</v>
      </c>
      <c r="AD61" s="2">
        <v>0.0</v>
      </c>
      <c r="AE61" s="2">
        <v>80.0</v>
      </c>
      <c r="AF61" s="2">
        <v>25.0</v>
      </c>
      <c r="AG61" s="2">
        <v>90.0</v>
      </c>
      <c r="AH61" s="2">
        <v>50.0</v>
      </c>
      <c r="AI61" s="2" t="s">
        <v>682</v>
      </c>
      <c r="AJ61" s="2" t="s">
        <v>684</v>
      </c>
      <c r="AK61" s="2">
        <v>24.3218691075807</v>
      </c>
      <c r="AL61" s="2">
        <v>9.07707094887289</v>
      </c>
      <c r="AM61" s="2" t="s">
        <v>55</v>
      </c>
      <c r="AN61" s="2">
        <v>1.911</v>
      </c>
      <c r="AO61" s="2" t="s">
        <v>31</v>
      </c>
      <c r="AP61" s="2">
        <v>0.89811320754717</v>
      </c>
      <c r="AQ61" s="2">
        <v>0.5</v>
      </c>
      <c r="AR61" s="2">
        <v>0.00235849056603774</v>
      </c>
      <c r="AS61" s="2">
        <v>3.0</v>
      </c>
    </row>
    <row r="62" ht="15.75" customHeight="1">
      <c r="A62" s="2">
        <v>6.0</v>
      </c>
      <c r="B62" s="2">
        <v>1613.195801</v>
      </c>
      <c r="C62" s="2">
        <v>81.0</v>
      </c>
      <c r="D62" s="2">
        <v>1530183.354</v>
      </c>
      <c r="E62" s="2">
        <v>5442607.0</v>
      </c>
      <c r="F62" s="2">
        <v>1613.195801</v>
      </c>
      <c r="G62" s="2" t="s">
        <v>60</v>
      </c>
      <c r="H62" s="2" t="s">
        <v>685</v>
      </c>
      <c r="I62" s="2">
        <v>45391.0</v>
      </c>
      <c r="J62" s="2">
        <v>7.0</v>
      </c>
      <c r="K62" s="2" t="s">
        <v>31</v>
      </c>
      <c r="L62" s="2" t="s">
        <v>650</v>
      </c>
      <c r="M62" s="2">
        <v>4.0</v>
      </c>
      <c r="N62" s="2">
        <v>60.0</v>
      </c>
      <c r="O62" s="2">
        <v>0.0</v>
      </c>
      <c r="P62" s="2">
        <v>10.0</v>
      </c>
      <c r="Q62" s="2">
        <v>0.0</v>
      </c>
      <c r="R62" s="2">
        <v>0.0</v>
      </c>
      <c r="S62" s="2">
        <v>0.0</v>
      </c>
      <c r="T62" s="2">
        <v>30.0</v>
      </c>
      <c r="U62" s="2">
        <v>0.0</v>
      </c>
      <c r="V62" s="2">
        <v>0.0</v>
      </c>
      <c r="W62" s="2">
        <v>100.0</v>
      </c>
      <c r="X62" s="2">
        <v>20.0</v>
      </c>
      <c r="Y62" s="2">
        <v>0.0</v>
      </c>
      <c r="Z62" s="2">
        <v>0.0</v>
      </c>
      <c r="AA62" s="2">
        <v>80.0</v>
      </c>
      <c r="AB62" s="2">
        <v>0.0</v>
      </c>
      <c r="AC62" s="2">
        <v>0.0</v>
      </c>
      <c r="AD62" s="2">
        <v>0.0</v>
      </c>
      <c r="AE62" s="2">
        <v>81.0</v>
      </c>
      <c r="AF62" s="2">
        <v>30.0</v>
      </c>
      <c r="AG62" s="2">
        <v>30.0</v>
      </c>
      <c r="AH62" s="2">
        <v>80.0</v>
      </c>
      <c r="AI62" s="2" t="s">
        <v>688</v>
      </c>
      <c r="AJ62" s="2" t="s">
        <v>689</v>
      </c>
      <c r="AK62" s="2">
        <v>30.8435198554923</v>
      </c>
      <c r="AL62" s="2">
        <v>4.19805252460119</v>
      </c>
      <c r="AM62" s="2" t="s">
        <v>55</v>
      </c>
      <c r="AN62" s="2">
        <v>1.911</v>
      </c>
      <c r="AO62" s="2" t="s">
        <v>31</v>
      </c>
      <c r="AP62" s="2">
        <v>0.300943396226415</v>
      </c>
      <c r="AQ62" s="2">
        <v>0.798584905660377</v>
      </c>
      <c r="AR62" s="2">
        <v>0.599528301886792</v>
      </c>
      <c r="AS62" s="2">
        <v>4.0</v>
      </c>
    </row>
    <row r="63" ht="15.75" customHeight="1">
      <c r="A63" s="2">
        <v>6.0</v>
      </c>
      <c r="B63" s="2">
        <v>1613.590088</v>
      </c>
      <c r="C63" s="2">
        <v>82.0</v>
      </c>
      <c r="D63" s="2">
        <v>1530184.092</v>
      </c>
      <c r="E63" s="2">
        <v>5442602.666</v>
      </c>
      <c r="F63" s="2">
        <v>1613.590088</v>
      </c>
      <c r="G63" s="2" t="s">
        <v>60</v>
      </c>
      <c r="H63" s="2" t="s">
        <v>690</v>
      </c>
      <c r="I63" s="2">
        <v>45391.0</v>
      </c>
      <c r="J63" s="2">
        <v>8.0</v>
      </c>
      <c r="K63" s="2" t="s">
        <v>31</v>
      </c>
      <c r="L63" s="2" t="s">
        <v>650</v>
      </c>
      <c r="M63" s="2">
        <v>4.0</v>
      </c>
      <c r="N63" s="2">
        <v>0.0</v>
      </c>
      <c r="O63" s="2">
        <v>0.0</v>
      </c>
      <c r="P63" s="2">
        <v>100.0</v>
      </c>
      <c r="Q63" s="2">
        <v>0.0</v>
      </c>
      <c r="R63" s="2">
        <v>0.0</v>
      </c>
      <c r="S63" s="2">
        <v>0.0</v>
      </c>
      <c r="T63" s="2">
        <v>0.0</v>
      </c>
      <c r="U63" s="2">
        <v>0.0</v>
      </c>
      <c r="V63" s="2">
        <v>0.0</v>
      </c>
      <c r="W63" s="2">
        <v>100.0</v>
      </c>
      <c r="X63" s="2">
        <v>0.0</v>
      </c>
      <c r="Y63" s="2">
        <v>0.0</v>
      </c>
      <c r="Z63" s="2">
        <v>0.0</v>
      </c>
      <c r="AA63" s="2">
        <v>100.0</v>
      </c>
      <c r="AB63" s="2">
        <v>0.0</v>
      </c>
      <c r="AC63" s="2">
        <v>0.0</v>
      </c>
      <c r="AD63" s="2">
        <v>0.0</v>
      </c>
      <c r="AE63" s="2">
        <v>82.0</v>
      </c>
      <c r="AF63" s="2">
        <v>35.0</v>
      </c>
      <c r="AG63" s="2">
        <v>0.0</v>
      </c>
      <c r="AH63" s="2">
        <v>100.0</v>
      </c>
      <c r="AI63" s="2" t="s">
        <v>693</v>
      </c>
      <c r="AJ63" s="2" t="s">
        <v>694</v>
      </c>
      <c r="AK63" s="2">
        <v>34.9004149043641</v>
      </c>
      <c r="AL63" s="2">
        <v>5.61888467533162</v>
      </c>
      <c r="AM63" s="2" t="s">
        <v>55</v>
      </c>
      <c r="AN63" s="2">
        <v>1.911</v>
      </c>
      <c r="AO63" s="2" t="s">
        <v>31</v>
      </c>
      <c r="AP63" s="2">
        <v>0.00235849056603774</v>
      </c>
      <c r="AQ63" s="2">
        <v>0.997641509433962</v>
      </c>
      <c r="AR63" s="2">
        <v>0.00235849056603774</v>
      </c>
      <c r="AS63" s="2">
        <v>4.0</v>
      </c>
    </row>
    <row r="64" ht="15.75" customHeight="1">
      <c r="A64" s="2">
        <v>6.0</v>
      </c>
      <c r="B64" s="2">
        <v>1614.343262</v>
      </c>
      <c r="C64" s="2">
        <v>83.0</v>
      </c>
      <c r="D64" s="2">
        <v>1530187.687</v>
      </c>
      <c r="E64" s="2">
        <v>5442599.43</v>
      </c>
      <c r="F64" s="2">
        <v>1614.343262</v>
      </c>
      <c r="G64" s="2" t="s">
        <v>60</v>
      </c>
      <c r="H64" s="2" t="s">
        <v>697</v>
      </c>
      <c r="I64" s="2">
        <v>45391.0</v>
      </c>
      <c r="J64" s="2">
        <v>9.0</v>
      </c>
      <c r="K64" s="2" t="s">
        <v>31</v>
      </c>
      <c r="L64" s="2" t="s">
        <v>650</v>
      </c>
      <c r="M64" s="2">
        <v>4.0</v>
      </c>
      <c r="N64" s="2">
        <v>0.0</v>
      </c>
      <c r="O64" s="2">
        <v>0.0</v>
      </c>
      <c r="P64" s="2">
        <v>100.0</v>
      </c>
      <c r="Q64" s="2">
        <v>0.0</v>
      </c>
      <c r="R64" s="2">
        <v>0.0</v>
      </c>
      <c r="S64" s="2">
        <v>0.0</v>
      </c>
      <c r="T64" s="2">
        <v>0.0</v>
      </c>
      <c r="U64" s="2">
        <v>0.0</v>
      </c>
      <c r="V64" s="2">
        <v>0.0</v>
      </c>
      <c r="W64" s="2">
        <v>100.0</v>
      </c>
      <c r="X64" s="2">
        <v>30.0</v>
      </c>
      <c r="Y64" s="2">
        <v>0.0</v>
      </c>
      <c r="Z64" s="2">
        <v>0.0</v>
      </c>
      <c r="AA64" s="2">
        <v>0.0</v>
      </c>
      <c r="AB64" s="2">
        <v>0.0</v>
      </c>
      <c r="AC64" s="2">
        <v>70.0</v>
      </c>
      <c r="AD64" s="2">
        <v>30.0</v>
      </c>
      <c r="AE64" s="2">
        <v>83.0</v>
      </c>
      <c r="AF64" s="2">
        <v>40.0</v>
      </c>
      <c r="AG64" s="2">
        <v>0.0</v>
      </c>
      <c r="AH64" s="2">
        <v>70.0</v>
      </c>
      <c r="AI64" s="2" t="s">
        <v>700</v>
      </c>
      <c r="AJ64" s="2" t="s">
        <v>701</v>
      </c>
      <c r="AK64" s="2">
        <v>39.5487714644653</v>
      </c>
      <c r="AL64" s="2">
        <v>7.66520658547716</v>
      </c>
      <c r="AM64" s="2" t="s">
        <v>55</v>
      </c>
      <c r="AN64" s="2">
        <v>1.911</v>
      </c>
      <c r="AO64" s="2" t="s">
        <v>31</v>
      </c>
      <c r="AP64" s="2">
        <v>0.00235849056603774</v>
      </c>
      <c r="AQ64" s="2">
        <v>0.699056603773585</v>
      </c>
      <c r="AR64" s="2">
        <v>0.00235849056603774</v>
      </c>
      <c r="AS64" s="2">
        <v>4.0</v>
      </c>
    </row>
    <row r="65" ht="15.75" customHeight="1">
      <c r="A65" s="2">
        <v>6.0</v>
      </c>
      <c r="B65" s="2">
        <v>1614.743408</v>
      </c>
      <c r="C65" s="2">
        <v>84.0</v>
      </c>
      <c r="D65" s="2">
        <v>1530187.582</v>
      </c>
      <c r="E65" s="2">
        <v>5442594.322</v>
      </c>
      <c r="F65" s="2">
        <v>1614.743408</v>
      </c>
      <c r="G65" s="2" t="s">
        <v>60</v>
      </c>
      <c r="H65" s="2" t="s">
        <v>704</v>
      </c>
      <c r="I65" s="2">
        <v>45391.0</v>
      </c>
      <c r="J65" s="2">
        <v>10.0</v>
      </c>
      <c r="K65" s="2" t="s">
        <v>31</v>
      </c>
      <c r="L65" s="2" t="s">
        <v>650</v>
      </c>
      <c r="M65" s="2">
        <v>2.0</v>
      </c>
      <c r="N65" s="2">
        <v>0.0</v>
      </c>
      <c r="O65" s="2">
        <v>0.0</v>
      </c>
      <c r="P65" s="2">
        <v>75.0</v>
      </c>
      <c r="Q65" s="2">
        <v>25.0</v>
      </c>
      <c r="R65" s="2">
        <v>0.0</v>
      </c>
      <c r="S65" s="2">
        <v>0.0</v>
      </c>
      <c r="T65" s="2">
        <v>0.0</v>
      </c>
      <c r="U65" s="2">
        <v>0.0</v>
      </c>
      <c r="V65" s="2">
        <v>0.0</v>
      </c>
      <c r="W65" s="2">
        <v>100.0</v>
      </c>
      <c r="X65" s="2">
        <v>80.0</v>
      </c>
      <c r="Y65" s="2">
        <v>0.0</v>
      </c>
      <c r="Z65" s="2">
        <v>20.0</v>
      </c>
      <c r="AA65" s="2">
        <v>0.0</v>
      </c>
      <c r="AB65" s="2">
        <v>0.0</v>
      </c>
      <c r="AC65" s="2">
        <v>0.0</v>
      </c>
      <c r="AD65" s="2">
        <v>0.0</v>
      </c>
      <c r="AE65" s="2">
        <v>84.0</v>
      </c>
      <c r="AF65" s="2">
        <v>45.0</v>
      </c>
      <c r="AG65" s="2">
        <v>0.0</v>
      </c>
      <c r="AH65" s="2">
        <v>20.0</v>
      </c>
      <c r="AI65" s="2" t="s">
        <v>707</v>
      </c>
      <c r="AJ65" s="2" t="s">
        <v>708</v>
      </c>
      <c r="AK65" s="2">
        <v>43.8714519850927</v>
      </c>
      <c r="AL65" s="2">
        <v>12.7720376211845</v>
      </c>
      <c r="AM65" s="2" t="s">
        <v>55</v>
      </c>
      <c r="AN65" s="2">
        <v>1.911</v>
      </c>
      <c r="AO65" s="2" t="s">
        <v>31</v>
      </c>
      <c r="AP65" s="2">
        <v>0.00235849056603774</v>
      </c>
      <c r="AQ65" s="2">
        <v>0.201415094339623</v>
      </c>
      <c r="AR65" s="2">
        <v>0.00235849056603774</v>
      </c>
      <c r="AS65" s="2">
        <v>2.0</v>
      </c>
    </row>
    <row r="66" ht="15.75" customHeight="1">
      <c r="A66" s="2">
        <v>7.0</v>
      </c>
      <c r="B66" s="2">
        <v>1508.811279</v>
      </c>
      <c r="C66" s="2">
        <v>89.0</v>
      </c>
      <c r="D66" s="2">
        <v>1529596.609</v>
      </c>
      <c r="E66" s="2">
        <v>5442036.446</v>
      </c>
      <c r="F66" s="2">
        <v>1508.811279</v>
      </c>
      <c r="G66" s="2" t="s">
        <v>485</v>
      </c>
      <c r="H66" s="2" t="s">
        <v>709</v>
      </c>
      <c r="I66" s="2">
        <v>45391.0</v>
      </c>
      <c r="J66" s="2">
        <v>1.0</v>
      </c>
      <c r="K66" s="2" t="s">
        <v>31</v>
      </c>
      <c r="L66" s="2" t="s">
        <v>710</v>
      </c>
      <c r="M66" s="2">
        <v>2.0</v>
      </c>
      <c r="N66" s="2">
        <v>70.0</v>
      </c>
      <c r="O66" s="2">
        <v>0.0</v>
      </c>
      <c r="P66" s="2">
        <v>0.0</v>
      </c>
      <c r="Q66" s="2">
        <v>0.0</v>
      </c>
      <c r="R66" s="2">
        <v>0.0</v>
      </c>
      <c r="S66" s="2">
        <v>0.0</v>
      </c>
      <c r="T66" s="2">
        <v>10.0</v>
      </c>
      <c r="U66" s="2">
        <v>20.0</v>
      </c>
      <c r="V66" s="2">
        <v>0.0</v>
      </c>
      <c r="W66" s="2">
        <v>100.0</v>
      </c>
      <c r="X66" s="2">
        <v>70.0</v>
      </c>
      <c r="Y66" s="2">
        <v>0.0</v>
      </c>
      <c r="Z66" s="2">
        <v>0.0</v>
      </c>
      <c r="AA66" s="2">
        <v>30.0</v>
      </c>
      <c r="AB66" s="2">
        <v>0.0</v>
      </c>
      <c r="AC66" s="2">
        <v>0.0</v>
      </c>
      <c r="AD66" s="2">
        <v>0.0</v>
      </c>
      <c r="AE66" s="2">
        <v>89.0</v>
      </c>
      <c r="AF66" s="2">
        <v>0.0</v>
      </c>
      <c r="AG66" s="2">
        <v>30.0</v>
      </c>
      <c r="AH66" s="2">
        <v>30.0</v>
      </c>
      <c r="AI66" s="2" t="s">
        <v>714</v>
      </c>
      <c r="AJ66" s="2" t="s">
        <v>715</v>
      </c>
      <c r="AK66" s="2">
        <v>65.4293617368812</v>
      </c>
      <c r="AL66" s="2">
        <v>7.79407550558635</v>
      </c>
      <c r="AM66" s="2" t="s">
        <v>74</v>
      </c>
      <c r="AN66" s="2">
        <v>2.195</v>
      </c>
      <c r="AO66" s="2" t="s">
        <v>31</v>
      </c>
      <c r="AP66" s="2">
        <v>0.300943396226415</v>
      </c>
      <c r="AQ66" s="2">
        <v>0.300943396226415</v>
      </c>
      <c r="AR66" s="2">
        <v>0.699056603773585</v>
      </c>
      <c r="AS66" s="2">
        <v>2.0</v>
      </c>
    </row>
    <row r="67" ht="15.75" customHeight="1">
      <c r="A67" s="2">
        <v>7.0</v>
      </c>
      <c r="B67" s="2">
        <v>1510.507935</v>
      </c>
      <c r="C67" s="2">
        <v>90.0</v>
      </c>
      <c r="D67" s="2">
        <v>1529591.49</v>
      </c>
      <c r="E67" s="2">
        <v>5442036.467</v>
      </c>
      <c r="F67" s="2">
        <v>1510.507935</v>
      </c>
      <c r="G67" s="2" t="s">
        <v>485</v>
      </c>
      <c r="H67" s="2" t="s">
        <v>716</v>
      </c>
      <c r="I67" s="2">
        <v>45391.0</v>
      </c>
      <c r="J67" s="2">
        <v>2.0</v>
      </c>
      <c r="K67" s="2" t="s">
        <v>31</v>
      </c>
      <c r="L67" s="2" t="s">
        <v>710</v>
      </c>
      <c r="M67" s="2">
        <v>1.0</v>
      </c>
      <c r="N67" s="2">
        <v>0.0</v>
      </c>
      <c r="O67" s="2">
        <v>0.0</v>
      </c>
      <c r="P67" s="2">
        <v>0.0</v>
      </c>
      <c r="Q67" s="2">
        <v>0.0</v>
      </c>
      <c r="R67" s="2">
        <v>40.0</v>
      </c>
      <c r="S67" s="2">
        <v>40.0</v>
      </c>
      <c r="T67" s="2">
        <v>20.0</v>
      </c>
      <c r="U67" s="2">
        <v>0.0</v>
      </c>
      <c r="V67" s="2">
        <v>0.0</v>
      </c>
      <c r="W67" s="2">
        <v>100.0</v>
      </c>
      <c r="X67" s="2">
        <v>100.0</v>
      </c>
      <c r="Y67" s="2">
        <v>0.0</v>
      </c>
      <c r="Z67" s="2">
        <v>0.0</v>
      </c>
      <c r="AA67" s="2">
        <v>0.0</v>
      </c>
      <c r="AB67" s="2">
        <v>0.0</v>
      </c>
      <c r="AC67" s="2">
        <v>0.0</v>
      </c>
      <c r="AD67" s="2">
        <v>0.0</v>
      </c>
      <c r="AE67" s="2">
        <v>90.0</v>
      </c>
      <c r="AF67" s="2">
        <v>5.0</v>
      </c>
      <c r="AG67" s="2">
        <v>100.0</v>
      </c>
      <c r="AH67" s="2">
        <v>0.0</v>
      </c>
      <c r="AI67" s="2" t="s">
        <v>721</v>
      </c>
      <c r="AJ67" s="2" t="s">
        <v>722</v>
      </c>
      <c r="AK67" s="2">
        <v>70.4649075254669</v>
      </c>
      <c r="AL67" s="2">
        <v>7.84395850262654</v>
      </c>
      <c r="AM67" s="2" t="s">
        <v>74</v>
      </c>
      <c r="AN67" s="2">
        <v>2.195</v>
      </c>
      <c r="AO67" s="2" t="s">
        <v>31</v>
      </c>
      <c r="AP67" s="2">
        <v>0.997641509433962</v>
      </c>
      <c r="AQ67" s="2">
        <v>0.00235849056603774</v>
      </c>
      <c r="AR67" s="2">
        <v>0.00235849056603774</v>
      </c>
      <c r="AS67" s="2">
        <v>1.0</v>
      </c>
    </row>
    <row r="68" ht="15.75" customHeight="1">
      <c r="A68" s="2">
        <v>7.0</v>
      </c>
      <c r="B68" s="2">
        <v>1509.375244</v>
      </c>
      <c r="C68" s="2">
        <v>91.0</v>
      </c>
      <c r="D68" s="2">
        <v>1529581.28</v>
      </c>
      <c r="E68" s="2">
        <v>5442043.172</v>
      </c>
      <c r="F68" s="2">
        <v>1509.375244</v>
      </c>
      <c r="G68" s="2" t="s">
        <v>485</v>
      </c>
      <c r="H68" s="2" t="s">
        <v>725</v>
      </c>
      <c r="I68" s="2">
        <v>45391.0</v>
      </c>
      <c r="J68" s="2">
        <v>3.0</v>
      </c>
      <c r="K68" s="2" t="s">
        <v>31</v>
      </c>
      <c r="L68" s="2" t="s">
        <v>710</v>
      </c>
      <c r="M68" s="2">
        <v>2.0</v>
      </c>
      <c r="N68" s="2">
        <v>20.0</v>
      </c>
      <c r="O68" s="2">
        <v>0.0</v>
      </c>
      <c r="P68" s="2">
        <v>10.0</v>
      </c>
      <c r="Q68" s="2">
        <v>0.0</v>
      </c>
      <c r="R68" s="2">
        <v>20.0</v>
      </c>
      <c r="S68" s="2">
        <v>20.0</v>
      </c>
      <c r="T68" s="2">
        <v>0.0</v>
      </c>
      <c r="U68" s="2">
        <v>30.0</v>
      </c>
      <c r="V68" s="2">
        <v>0.0</v>
      </c>
      <c r="W68" s="2">
        <v>100.0</v>
      </c>
      <c r="X68" s="2">
        <v>100.0</v>
      </c>
      <c r="Y68" s="2">
        <v>0.0</v>
      </c>
      <c r="Z68" s="2">
        <v>0.0</v>
      </c>
      <c r="AA68" s="2">
        <v>0.0</v>
      </c>
      <c r="AB68" s="2">
        <v>0.0</v>
      </c>
      <c r="AC68" s="2">
        <v>0.0</v>
      </c>
      <c r="AD68" s="2">
        <v>0.0</v>
      </c>
      <c r="AE68" s="2">
        <v>91.0</v>
      </c>
      <c r="AF68" s="2">
        <v>10.0</v>
      </c>
      <c r="AG68" s="2">
        <v>70.0</v>
      </c>
      <c r="AH68" s="2">
        <v>0.0</v>
      </c>
      <c r="AI68" s="2" t="s">
        <v>727</v>
      </c>
      <c r="AJ68" s="2" t="s">
        <v>729</v>
      </c>
      <c r="AK68" s="2">
        <v>81.8424322728106</v>
      </c>
      <c r="AL68" s="2">
        <v>12.8935239557428</v>
      </c>
      <c r="AM68" s="2" t="s">
        <v>74</v>
      </c>
      <c r="AN68" s="2">
        <v>2.195</v>
      </c>
      <c r="AO68" s="2" t="s">
        <v>31</v>
      </c>
      <c r="AP68" s="2">
        <v>0.699056603773585</v>
      </c>
      <c r="AQ68" s="2">
        <v>0.00235849056603774</v>
      </c>
      <c r="AR68" s="2">
        <v>0.201415094339623</v>
      </c>
      <c r="AS68" s="2">
        <v>2.0</v>
      </c>
    </row>
    <row r="69" ht="15.75" customHeight="1">
      <c r="A69" s="2">
        <v>7.0</v>
      </c>
      <c r="B69" s="2">
        <v>1510.362915</v>
      </c>
      <c r="C69" s="2">
        <v>92.0</v>
      </c>
      <c r="D69" s="2">
        <v>1529573.995</v>
      </c>
      <c r="E69" s="2">
        <v>5442047.199</v>
      </c>
      <c r="F69" s="2">
        <v>1510.362915</v>
      </c>
      <c r="G69" s="2" t="s">
        <v>485</v>
      </c>
      <c r="H69" s="2" t="s">
        <v>732</v>
      </c>
      <c r="I69" s="2">
        <v>45391.0</v>
      </c>
      <c r="J69" s="2">
        <v>4.0</v>
      </c>
      <c r="K69" s="2" t="s">
        <v>31</v>
      </c>
      <c r="L69" s="2" t="s">
        <v>710</v>
      </c>
      <c r="M69" s="2">
        <v>2.0</v>
      </c>
      <c r="N69" s="2">
        <v>20.0</v>
      </c>
      <c r="O69" s="2">
        <v>0.0</v>
      </c>
      <c r="P69" s="2">
        <v>10.0</v>
      </c>
      <c r="Q69" s="2">
        <v>0.0</v>
      </c>
      <c r="R69" s="2">
        <v>0.0</v>
      </c>
      <c r="S69" s="2">
        <v>20.0</v>
      </c>
      <c r="T69" s="2">
        <v>0.0</v>
      </c>
      <c r="U69" s="2">
        <v>50.0</v>
      </c>
      <c r="V69" s="2">
        <v>0.0</v>
      </c>
      <c r="W69" s="2">
        <v>100.0</v>
      </c>
      <c r="X69" s="2">
        <v>90.0</v>
      </c>
      <c r="Y69" s="2">
        <v>0.0</v>
      </c>
      <c r="Z69" s="2">
        <v>10.0</v>
      </c>
      <c r="AA69" s="2">
        <v>0.0</v>
      </c>
      <c r="AB69" s="2">
        <v>0.0</v>
      </c>
      <c r="AC69" s="2">
        <v>0.0</v>
      </c>
      <c r="AD69" s="2">
        <v>0.0</v>
      </c>
      <c r="AE69" s="2">
        <v>92.0</v>
      </c>
      <c r="AF69" s="2">
        <v>15.0</v>
      </c>
      <c r="AG69" s="2">
        <v>70.0</v>
      </c>
      <c r="AH69" s="2">
        <v>10.0</v>
      </c>
      <c r="AI69" s="2" t="s">
        <v>738</v>
      </c>
      <c r="AJ69" s="2" t="s">
        <v>739</v>
      </c>
      <c r="AK69" s="2">
        <v>89.8959897963735</v>
      </c>
      <c r="AL69" s="2">
        <v>20.4382471361132</v>
      </c>
      <c r="AM69" s="2" t="s">
        <v>74</v>
      </c>
      <c r="AN69" s="2">
        <v>2.195</v>
      </c>
      <c r="AO69" s="2" t="s">
        <v>31</v>
      </c>
      <c r="AP69" s="2">
        <v>0.699056603773585</v>
      </c>
      <c r="AQ69" s="2">
        <v>0.10188679245283</v>
      </c>
      <c r="AR69" s="2">
        <v>0.201415094339623</v>
      </c>
      <c r="AS69" s="2">
        <v>2.0</v>
      </c>
    </row>
    <row r="70" ht="15.75" customHeight="1">
      <c r="A70" s="2">
        <v>7.0</v>
      </c>
      <c r="B70" s="2">
        <v>1510.578979</v>
      </c>
      <c r="C70" s="2">
        <v>93.0</v>
      </c>
      <c r="D70" s="2">
        <v>1529565.955</v>
      </c>
      <c r="E70" s="2">
        <v>5442051.119</v>
      </c>
      <c r="F70" s="2">
        <v>1510.578979</v>
      </c>
      <c r="G70" s="2" t="s">
        <v>485</v>
      </c>
      <c r="H70" s="2" t="s">
        <v>745</v>
      </c>
      <c r="I70" s="2">
        <v>45391.0</v>
      </c>
      <c r="J70" s="2">
        <v>5.0</v>
      </c>
      <c r="K70" s="2" t="s">
        <v>31</v>
      </c>
      <c r="L70" s="2" t="s">
        <v>710</v>
      </c>
      <c r="M70" s="2">
        <v>1.0</v>
      </c>
      <c r="N70" s="2">
        <v>0.0</v>
      </c>
      <c r="O70" s="2">
        <v>0.0</v>
      </c>
      <c r="P70" s="2">
        <v>50.0</v>
      </c>
      <c r="Q70" s="2">
        <v>20.0</v>
      </c>
      <c r="R70" s="2">
        <v>0.0</v>
      </c>
      <c r="S70" s="2">
        <v>0.0</v>
      </c>
      <c r="T70" s="2">
        <v>0.0</v>
      </c>
      <c r="U70" s="2">
        <v>30.0</v>
      </c>
      <c r="V70" s="2">
        <v>0.0</v>
      </c>
      <c r="W70" s="2">
        <v>100.0</v>
      </c>
      <c r="X70" s="2">
        <v>100.0</v>
      </c>
      <c r="Y70" s="2">
        <v>0.0</v>
      </c>
      <c r="Z70" s="2">
        <v>0.0</v>
      </c>
      <c r="AA70" s="2">
        <v>0.0</v>
      </c>
      <c r="AB70" s="2">
        <v>0.0</v>
      </c>
      <c r="AC70" s="2">
        <v>0.0</v>
      </c>
      <c r="AD70" s="2">
        <v>0.0</v>
      </c>
      <c r="AE70" s="2">
        <v>93.0</v>
      </c>
      <c r="AF70" s="2">
        <v>20.0</v>
      </c>
      <c r="AG70" s="2">
        <v>30.0</v>
      </c>
      <c r="AH70" s="2">
        <v>0.0</v>
      </c>
      <c r="AI70" s="2" t="s">
        <v>750</v>
      </c>
      <c r="AJ70" s="2" t="s">
        <v>753</v>
      </c>
      <c r="AK70" s="2">
        <v>98.690685419875</v>
      </c>
      <c r="AL70" s="2">
        <v>27.7865116377506</v>
      </c>
      <c r="AM70" s="2" t="s">
        <v>55</v>
      </c>
      <c r="AN70" s="2">
        <v>2.195</v>
      </c>
      <c r="AO70" s="2" t="s">
        <v>31</v>
      </c>
      <c r="AP70" s="2">
        <v>0.300943396226415</v>
      </c>
      <c r="AQ70" s="2">
        <v>0.00235849056603774</v>
      </c>
      <c r="AR70" s="2">
        <v>0.00235849056603774</v>
      </c>
      <c r="AS70" s="2">
        <v>1.0</v>
      </c>
    </row>
    <row r="71" ht="15.75" customHeight="1">
      <c r="A71" s="2">
        <v>7.0</v>
      </c>
      <c r="B71" s="2">
        <v>1511.185425</v>
      </c>
      <c r="C71" s="2">
        <v>94.0</v>
      </c>
      <c r="D71" s="2">
        <v>1529556.822</v>
      </c>
      <c r="E71" s="2">
        <v>5442054.377</v>
      </c>
      <c r="F71" s="2">
        <v>1511.185425</v>
      </c>
      <c r="G71" s="2" t="s">
        <v>485</v>
      </c>
      <c r="H71" s="2" t="s">
        <v>760</v>
      </c>
      <c r="I71" s="2">
        <v>45391.0</v>
      </c>
      <c r="J71" s="2">
        <v>6.0</v>
      </c>
      <c r="K71" s="2" t="s">
        <v>31</v>
      </c>
      <c r="L71" s="2" t="s">
        <v>710</v>
      </c>
      <c r="M71" s="2">
        <v>1.0</v>
      </c>
      <c r="N71" s="2">
        <v>0.0</v>
      </c>
      <c r="O71" s="2">
        <v>0.0</v>
      </c>
      <c r="P71" s="2">
        <v>0.0</v>
      </c>
      <c r="Q71" s="2">
        <v>0.0</v>
      </c>
      <c r="R71" s="2">
        <v>20.0</v>
      </c>
      <c r="S71" s="2">
        <v>40.0</v>
      </c>
      <c r="T71" s="2">
        <v>20.0</v>
      </c>
      <c r="U71" s="2">
        <v>20.0</v>
      </c>
      <c r="V71" s="2">
        <v>0.0</v>
      </c>
      <c r="W71" s="2">
        <v>100.0</v>
      </c>
      <c r="X71" s="2">
        <v>100.0</v>
      </c>
      <c r="Y71" s="2">
        <v>0.0</v>
      </c>
      <c r="Z71" s="2">
        <v>0.0</v>
      </c>
      <c r="AA71" s="2">
        <v>0.0</v>
      </c>
      <c r="AB71" s="2">
        <v>0.0</v>
      </c>
      <c r="AC71" s="2">
        <v>0.0</v>
      </c>
      <c r="AD71" s="2">
        <v>0.0</v>
      </c>
      <c r="AE71" s="2">
        <v>94.0</v>
      </c>
      <c r="AF71" s="2">
        <v>25.0</v>
      </c>
      <c r="AG71" s="2">
        <v>100.0</v>
      </c>
      <c r="AH71" s="2">
        <v>0.0</v>
      </c>
      <c r="AI71" s="2" t="s">
        <v>765</v>
      </c>
      <c r="AJ71" s="2" t="s">
        <v>766</v>
      </c>
      <c r="AK71" s="2">
        <v>108.369344412372</v>
      </c>
      <c r="AL71" s="2">
        <v>18.699722484501</v>
      </c>
      <c r="AM71" s="2" t="s">
        <v>74</v>
      </c>
      <c r="AN71" s="2">
        <v>2.195</v>
      </c>
      <c r="AO71" s="2" t="s">
        <v>31</v>
      </c>
      <c r="AP71" s="2">
        <v>0.997641509433962</v>
      </c>
      <c r="AQ71" s="2">
        <v>0.00235849056603774</v>
      </c>
      <c r="AR71" s="2">
        <v>0.00235849056603774</v>
      </c>
      <c r="AS71" s="2">
        <v>1.0</v>
      </c>
    </row>
    <row r="72" ht="15.75" customHeight="1">
      <c r="A72" s="2">
        <v>7.0</v>
      </c>
      <c r="B72" s="2">
        <v>1511.71167</v>
      </c>
      <c r="C72" s="2">
        <v>95.0</v>
      </c>
      <c r="D72" s="2">
        <v>1529551.215</v>
      </c>
      <c r="E72" s="2">
        <v>5442058.175</v>
      </c>
      <c r="F72" s="2">
        <v>1511.71167</v>
      </c>
      <c r="G72" s="2" t="s">
        <v>485</v>
      </c>
      <c r="H72" s="2" t="s">
        <v>772</v>
      </c>
      <c r="I72" s="2">
        <v>45391.0</v>
      </c>
      <c r="J72" s="2">
        <v>7.0</v>
      </c>
      <c r="K72" s="2" t="s">
        <v>31</v>
      </c>
      <c r="L72" s="2" t="s">
        <v>710</v>
      </c>
      <c r="M72" s="2">
        <v>1.0</v>
      </c>
      <c r="N72" s="2">
        <v>0.0</v>
      </c>
      <c r="O72" s="2">
        <v>0.0</v>
      </c>
      <c r="P72" s="2">
        <v>0.0</v>
      </c>
      <c r="Q72" s="2">
        <v>0.0</v>
      </c>
      <c r="R72" s="2">
        <v>0.0</v>
      </c>
      <c r="S72" s="2">
        <v>0.0</v>
      </c>
      <c r="T72" s="2">
        <v>100.0</v>
      </c>
      <c r="U72" s="2">
        <v>0.0</v>
      </c>
      <c r="V72" s="2">
        <v>0.0</v>
      </c>
      <c r="W72" s="2">
        <v>100.0</v>
      </c>
      <c r="X72" s="2">
        <v>100.0</v>
      </c>
      <c r="Y72" s="2">
        <v>0.0</v>
      </c>
      <c r="Z72" s="2">
        <v>0.0</v>
      </c>
      <c r="AA72" s="2">
        <v>0.0</v>
      </c>
      <c r="AB72" s="2">
        <v>0.0</v>
      </c>
      <c r="AC72" s="2">
        <v>0.0</v>
      </c>
      <c r="AD72" s="2">
        <v>0.0</v>
      </c>
      <c r="AE72" s="2">
        <v>95.0</v>
      </c>
      <c r="AF72" s="2">
        <v>30.0</v>
      </c>
      <c r="AG72" s="2">
        <v>100.0</v>
      </c>
      <c r="AH72" s="2">
        <v>0.0</v>
      </c>
      <c r="AI72" s="2" t="s">
        <v>797</v>
      </c>
      <c r="AJ72" s="2" t="s">
        <v>798</v>
      </c>
      <c r="AK72" s="2">
        <v>114.835490904629</v>
      </c>
      <c r="AL72" s="2">
        <v>11.9388030391532</v>
      </c>
      <c r="AM72" s="2" t="s">
        <v>74</v>
      </c>
      <c r="AN72" s="2">
        <v>2.195</v>
      </c>
      <c r="AO72" s="2" t="s">
        <v>31</v>
      </c>
      <c r="AP72" s="2">
        <v>0.997641509433962</v>
      </c>
      <c r="AQ72" s="2">
        <v>0.00235849056603774</v>
      </c>
      <c r="AR72" s="2">
        <v>0.00235849056603774</v>
      </c>
      <c r="AS72" s="2">
        <v>1.0</v>
      </c>
    </row>
    <row r="73" ht="15.75" customHeight="1">
      <c r="A73" s="2">
        <v>7.0</v>
      </c>
      <c r="B73" s="2">
        <v>1511.006592</v>
      </c>
      <c r="C73" s="2">
        <v>96.0</v>
      </c>
      <c r="D73" s="2">
        <v>1529546.201</v>
      </c>
      <c r="E73" s="2">
        <v>5442063.304</v>
      </c>
      <c r="F73" s="2">
        <v>1511.006592</v>
      </c>
      <c r="G73" s="2" t="s">
        <v>485</v>
      </c>
      <c r="H73" s="2" t="s">
        <v>814</v>
      </c>
      <c r="I73" s="2">
        <v>45391.0</v>
      </c>
      <c r="J73" s="2">
        <v>8.0</v>
      </c>
      <c r="K73" s="2" t="s">
        <v>31</v>
      </c>
      <c r="L73" s="2" t="s">
        <v>710</v>
      </c>
      <c r="M73" s="2">
        <v>1.0</v>
      </c>
      <c r="N73" s="2">
        <v>0.0</v>
      </c>
      <c r="O73" s="2">
        <v>0.0</v>
      </c>
      <c r="P73" s="2">
        <v>0.0</v>
      </c>
      <c r="Q73" s="2">
        <v>100.0</v>
      </c>
      <c r="R73" s="2">
        <v>0.0</v>
      </c>
      <c r="S73" s="2">
        <v>0.0</v>
      </c>
      <c r="T73" s="2">
        <v>0.0</v>
      </c>
      <c r="U73" s="2">
        <v>0.0</v>
      </c>
      <c r="V73" s="2">
        <v>0.0</v>
      </c>
      <c r="W73" s="2">
        <v>100.0</v>
      </c>
      <c r="X73" s="2">
        <v>100.0</v>
      </c>
      <c r="Y73" s="2">
        <v>0.0</v>
      </c>
      <c r="Z73" s="2">
        <v>0.0</v>
      </c>
      <c r="AA73" s="2">
        <v>0.0</v>
      </c>
      <c r="AB73" s="2">
        <v>0.0</v>
      </c>
      <c r="AC73" s="2">
        <v>0.0</v>
      </c>
      <c r="AD73" s="2">
        <v>0.0</v>
      </c>
      <c r="AE73" s="2">
        <v>96.0</v>
      </c>
      <c r="AF73" s="2">
        <v>35.0</v>
      </c>
      <c r="AG73" s="2">
        <v>0.0</v>
      </c>
      <c r="AH73" s="2">
        <v>0.0</v>
      </c>
      <c r="AI73" s="2" t="s">
        <v>838</v>
      </c>
      <c r="AJ73" s="2" t="s">
        <v>840</v>
      </c>
      <c r="AK73" s="2">
        <v>121.197439912948</v>
      </c>
      <c r="AL73" s="2">
        <v>5.39386660942454</v>
      </c>
      <c r="AM73" s="2" t="s">
        <v>74</v>
      </c>
      <c r="AN73" s="2">
        <v>2.195</v>
      </c>
      <c r="AO73" s="2" t="s">
        <v>31</v>
      </c>
      <c r="AP73" s="2">
        <v>0.00235849056603774</v>
      </c>
      <c r="AQ73" s="2">
        <v>0.00235849056603774</v>
      </c>
      <c r="AR73" s="2">
        <v>0.00235849056603774</v>
      </c>
      <c r="AS73" s="2">
        <v>1.0</v>
      </c>
    </row>
    <row r="74" ht="15.75" customHeight="1">
      <c r="A74" s="2">
        <v>7.0</v>
      </c>
      <c r="B74" s="2">
        <v>1511.99585</v>
      </c>
      <c r="C74" s="2">
        <v>97.0</v>
      </c>
      <c r="D74" s="2">
        <v>1529532.766</v>
      </c>
      <c r="E74" s="2">
        <v>5442061.249</v>
      </c>
      <c r="F74" s="2">
        <v>1511.99585</v>
      </c>
      <c r="G74" s="2" t="s">
        <v>485</v>
      </c>
      <c r="H74" s="2" t="s">
        <v>854</v>
      </c>
      <c r="I74" s="2">
        <v>45391.0</v>
      </c>
      <c r="J74" s="2">
        <v>9.0</v>
      </c>
      <c r="K74" s="2" t="s">
        <v>31</v>
      </c>
      <c r="L74" s="2" t="s">
        <v>710</v>
      </c>
      <c r="M74" s="2">
        <v>1.0</v>
      </c>
      <c r="N74" s="2">
        <v>100.0</v>
      </c>
      <c r="O74" s="2">
        <v>0.0</v>
      </c>
      <c r="P74" s="2">
        <v>0.0</v>
      </c>
      <c r="Q74" s="2">
        <v>0.0</v>
      </c>
      <c r="R74" s="2">
        <v>0.0</v>
      </c>
      <c r="S74" s="2">
        <v>0.0</v>
      </c>
      <c r="T74" s="2">
        <v>0.0</v>
      </c>
      <c r="U74" s="2">
        <v>0.0</v>
      </c>
      <c r="V74" s="2">
        <v>0.0</v>
      </c>
      <c r="W74" s="2">
        <v>100.0</v>
      </c>
      <c r="X74" s="2">
        <v>100.0</v>
      </c>
      <c r="Y74" s="2">
        <v>0.0</v>
      </c>
      <c r="Z74" s="2">
        <v>0.0</v>
      </c>
      <c r="AA74" s="2">
        <v>0.0</v>
      </c>
      <c r="AB74" s="2">
        <v>0.0</v>
      </c>
      <c r="AC74" s="2">
        <v>0.0</v>
      </c>
      <c r="AD74" s="2">
        <v>0.0</v>
      </c>
      <c r="AE74" s="2">
        <v>97.0</v>
      </c>
      <c r="AF74" s="2">
        <v>40.0</v>
      </c>
      <c r="AG74" s="2">
        <v>0.0</v>
      </c>
      <c r="AH74" s="2">
        <v>0.0</v>
      </c>
      <c r="AI74" s="2" t="s">
        <v>861</v>
      </c>
      <c r="AJ74" s="2" t="s">
        <v>862</v>
      </c>
      <c r="AK74" s="2">
        <v>133.387262419108</v>
      </c>
      <c r="AL74" s="2">
        <v>1.59108579237382</v>
      </c>
      <c r="AM74" s="2" t="s">
        <v>55</v>
      </c>
      <c r="AN74" s="2">
        <v>2.195</v>
      </c>
      <c r="AO74" s="2" t="s">
        <v>31</v>
      </c>
      <c r="AP74" s="2">
        <v>0.00235849056603774</v>
      </c>
      <c r="AQ74" s="2">
        <v>0.00235849056603774</v>
      </c>
      <c r="AR74" s="2">
        <v>0.997641509433962</v>
      </c>
      <c r="AS74" s="2">
        <v>1.0</v>
      </c>
    </row>
    <row r="75" ht="15.75" customHeight="1">
      <c r="A75" s="2">
        <v>7.0</v>
      </c>
      <c r="B75" s="2">
        <v>1516.2771</v>
      </c>
      <c r="C75" s="2">
        <v>98.0</v>
      </c>
      <c r="D75" s="2">
        <v>1529524.057</v>
      </c>
      <c r="E75" s="2">
        <v>5442065.726</v>
      </c>
      <c r="F75" s="2">
        <v>1516.2771</v>
      </c>
      <c r="G75" s="2" t="s">
        <v>485</v>
      </c>
      <c r="H75" s="2" t="s">
        <v>863</v>
      </c>
      <c r="I75" s="2">
        <v>45391.0</v>
      </c>
      <c r="J75" s="2">
        <v>10.0</v>
      </c>
      <c r="K75" s="2" t="s">
        <v>31</v>
      </c>
      <c r="L75" s="2" t="s">
        <v>710</v>
      </c>
      <c r="M75" s="2">
        <v>1.0</v>
      </c>
      <c r="N75" s="2">
        <v>0.0</v>
      </c>
      <c r="O75" s="2">
        <v>0.0</v>
      </c>
      <c r="P75" s="2">
        <v>0.0</v>
      </c>
      <c r="Q75" s="2">
        <v>0.0</v>
      </c>
      <c r="R75" s="2">
        <v>30.0</v>
      </c>
      <c r="S75" s="2">
        <v>50.0</v>
      </c>
      <c r="T75" s="2">
        <v>0.0</v>
      </c>
      <c r="U75" s="2">
        <v>20.0</v>
      </c>
      <c r="V75" s="2">
        <v>0.0</v>
      </c>
      <c r="W75" s="2">
        <v>100.0</v>
      </c>
      <c r="X75" s="2">
        <v>100.0</v>
      </c>
      <c r="Y75" s="2">
        <v>0.0</v>
      </c>
      <c r="Z75" s="2">
        <v>0.0</v>
      </c>
      <c r="AA75" s="2">
        <v>0.0</v>
      </c>
      <c r="AB75" s="2">
        <v>0.0</v>
      </c>
      <c r="AC75" s="2">
        <v>0.0</v>
      </c>
      <c r="AD75" s="2">
        <v>0.0</v>
      </c>
      <c r="AE75" s="2">
        <v>98.0</v>
      </c>
      <c r="AF75" s="2">
        <v>45.0</v>
      </c>
      <c r="AG75" s="2">
        <v>100.0</v>
      </c>
      <c r="AH75" s="2">
        <v>0.0</v>
      </c>
      <c r="AI75" s="2" t="s">
        <v>865</v>
      </c>
      <c r="AJ75" s="2" t="s">
        <v>866</v>
      </c>
      <c r="AK75" s="2">
        <v>143.012624181138</v>
      </c>
      <c r="AL75" s="2">
        <v>9.49739206281809</v>
      </c>
      <c r="AM75" s="2" t="s">
        <v>55</v>
      </c>
      <c r="AN75" s="2">
        <v>2.195</v>
      </c>
      <c r="AO75" s="2" t="s">
        <v>31</v>
      </c>
      <c r="AP75" s="2">
        <v>0.997641509433962</v>
      </c>
      <c r="AQ75" s="2">
        <v>0.00235849056603774</v>
      </c>
      <c r="AR75" s="2">
        <v>0.00235849056603774</v>
      </c>
      <c r="AS75" s="2">
        <v>1.0</v>
      </c>
    </row>
    <row r="76" ht="15.75" customHeight="1">
      <c r="A76" s="2">
        <v>8.0</v>
      </c>
      <c r="B76" s="2">
        <v>1511.141113</v>
      </c>
      <c r="C76" s="2">
        <v>112.0</v>
      </c>
      <c r="D76" s="2">
        <v>1529608.24</v>
      </c>
      <c r="E76" s="2">
        <v>5441738.538</v>
      </c>
      <c r="F76" s="2">
        <v>1511.141113</v>
      </c>
      <c r="G76" s="2" t="s">
        <v>77</v>
      </c>
      <c r="H76" s="2" t="s">
        <v>867</v>
      </c>
      <c r="I76" s="2">
        <v>45391.0</v>
      </c>
      <c r="J76" s="2">
        <v>1.0</v>
      </c>
      <c r="K76" s="2" t="s">
        <v>31</v>
      </c>
      <c r="L76" s="2" t="s">
        <v>868</v>
      </c>
      <c r="M76" s="2">
        <v>4.0</v>
      </c>
      <c r="N76" s="2">
        <v>60.0</v>
      </c>
      <c r="O76" s="2">
        <v>0.0</v>
      </c>
      <c r="P76" s="2">
        <v>0.0</v>
      </c>
      <c r="Q76" s="2">
        <v>0.0</v>
      </c>
      <c r="R76" s="2">
        <v>10.0</v>
      </c>
      <c r="S76" s="2">
        <v>30.0</v>
      </c>
      <c r="T76" s="2">
        <v>0.0</v>
      </c>
      <c r="U76" s="2">
        <v>0.0</v>
      </c>
      <c r="V76" s="2">
        <v>0.0</v>
      </c>
      <c r="W76" s="2">
        <v>100.0</v>
      </c>
      <c r="X76" s="2">
        <v>40.0</v>
      </c>
      <c r="Y76" s="2">
        <v>30.0</v>
      </c>
      <c r="Z76" s="2">
        <v>0.0</v>
      </c>
      <c r="AA76" s="2">
        <v>30.0</v>
      </c>
      <c r="AB76" s="2">
        <v>0.0</v>
      </c>
      <c r="AC76" s="2">
        <v>0.0</v>
      </c>
      <c r="AD76" s="2">
        <v>0.0</v>
      </c>
      <c r="AE76" s="2">
        <v>112.0</v>
      </c>
      <c r="AF76" s="2">
        <v>0.0</v>
      </c>
      <c r="AG76" s="2">
        <v>40.0</v>
      </c>
      <c r="AH76" s="2">
        <v>60.0</v>
      </c>
      <c r="AI76" s="2" t="s">
        <v>869</v>
      </c>
      <c r="AJ76" s="2" t="s">
        <v>870</v>
      </c>
      <c r="AK76" s="2">
        <v>0.201859806254851</v>
      </c>
      <c r="AL76" s="2">
        <v>10.0363773814516</v>
      </c>
      <c r="AM76" s="2" t="s">
        <v>74</v>
      </c>
      <c r="AN76" s="2">
        <v>3.029</v>
      </c>
      <c r="AO76" s="2" t="s">
        <v>31</v>
      </c>
      <c r="AP76" s="2">
        <v>0.400471698113208</v>
      </c>
      <c r="AQ76" s="2">
        <v>0.599528301886792</v>
      </c>
      <c r="AR76" s="2">
        <v>0.599528301886792</v>
      </c>
      <c r="AS76" s="2">
        <v>4.0</v>
      </c>
    </row>
    <row r="77" ht="15.75" customHeight="1">
      <c r="A77" s="2">
        <v>8.0</v>
      </c>
      <c r="B77" s="2">
        <v>1512.371094</v>
      </c>
      <c r="C77" s="2">
        <v>113.0</v>
      </c>
      <c r="D77" s="2">
        <v>1529611.295</v>
      </c>
      <c r="E77" s="2">
        <v>5441746.966</v>
      </c>
      <c r="F77" s="2">
        <v>1512.371094</v>
      </c>
      <c r="G77" s="2" t="s">
        <v>77</v>
      </c>
      <c r="H77" s="2" t="s">
        <v>874</v>
      </c>
      <c r="I77" s="2">
        <v>45391.0</v>
      </c>
      <c r="J77" s="2">
        <v>2.0</v>
      </c>
      <c r="K77" s="2" t="s">
        <v>31</v>
      </c>
      <c r="L77" s="2" t="s">
        <v>868</v>
      </c>
      <c r="M77" s="2">
        <v>4.0</v>
      </c>
      <c r="N77" s="2">
        <v>50.0</v>
      </c>
      <c r="O77" s="2">
        <v>0.0</v>
      </c>
      <c r="P77" s="2">
        <v>0.0</v>
      </c>
      <c r="Q77" s="2">
        <v>0.0</v>
      </c>
      <c r="R77" s="2">
        <v>0.0</v>
      </c>
      <c r="S77" s="2">
        <v>0.0</v>
      </c>
      <c r="T77" s="2">
        <v>10.0</v>
      </c>
      <c r="U77" s="2">
        <v>40.0</v>
      </c>
      <c r="V77" s="2">
        <v>0.0</v>
      </c>
      <c r="W77" s="2">
        <v>100.0</v>
      </c>
      <c r="X77" s="2">
        <v>10.0</v>
      </c>
      <c r="Y77" s="2">
        <v>40.0</v>
      </c>
      <c r="Z77" s="2">
        <v>0.0</v>
      </c>
      <c r="AA77" s="2">
        <v>50.0</v>
      </c>
      <c r="AB77" s="2">
        <v>0.0</v>
      </c>
      <c r="AC77" s="2">
        <v>0.0</v>
      </c>
      <c r="AD77" s="2">
        <v>0.0</v>
      </c>
      <c r="AE77" s="2">
        <v>113.0</v>
      </c>
      <c r="AF77" s="2">
        <v>5.0</v>
      </c>
      <c r="AG77" s="2">
        <v>50.0</v>
      </c>
      <c r="AH77" s="2">
        <v>90.0</v>
      </c>
      <c r="AI77" s="2" t="s">
        <v>881</v>
      </c>
      <c r="AJ77" s="2" t="s">
        <v>882</v>
      </c>
      <c r="AK77" s="2">
        <v>7.82830017308438</v>
      </c>
      <c r="AL77" s="2">
        <v>2.82851224046329</v>
      </c>
      <c r="AM77" s="2" t="s">
        <v>55</v>
      </c>
      <c r="AN77" s="2">
        <v>3.029</v>
      </c>
      <c r="AO77" s="2" t="s">
        <v>31</v>
      </c>
      <c r="AP77" s="2">
        <v>0.5</v>
      </c>
      <c r="AQ77" s="2">
        <v>0.89811320754717</v>
      </c>
      <c r="AR77" s="2">
        <v>0.5</v>
      </c>
      <c r="AS77" s="2">
        <v>4.0</v>
      </c>
    </row>
    <row r="78" ht="15.75" customHeight="1">
      <c r="A78" s="2">
        <v>8.0</v>
      </c>
      <c r="B78" s="2">
        <v>1511.610962</v>
      </c>
      <c r="C78" s="2">
        <v>114.0</v>
      </c>
      <c r="D78" s="2">
        <v>1529611.312</v>
      </c>
      <c r="E78" s="2">
        <v>5441751.075</v>
      </c>
      <c r="F78" s="2">
        <v>1511.610962</v>
      </c>
      <c r="G78" s="2" t="s">
        <v>77</v>
      </c>
      <c r="H78" s="2" t="s">
        <v>883</v>
      </c>
      <c r="I78" s="2">
        <v>45391.0</v>
      </c>
      <c r="J78" s="2">
        <v>3.0</v>
      </c>
      <c r="K78" s="2" t="s">
        <v>31</v>
      </c>
      <c r="L78" s="2" t="s">
        <v>868</v>
      </c>
      <c r="M78" s="2">
        <v>4.0</v>
      </c>
      <c r="N78" s="2">
        <v>70.0</v>
      </c>
      <c r="O78" s="2">
        <v>0.0</v>
      </c>
      <c r="P78" s="2">
        <v>0.0</v>
      </c>
      <c r="Q78" s="2">
        <v>0.0</v>
      </c>
      <c r="R78" s="2">
        <v>0.0</v>
      </c>
      <c r="S78" s="2">
        <v>0.0</v>
      </c>
      <c r="T78" s="2">
        <v>0.0</v>
      </c>
      <c r="U78" s="2">
        <v>20.0</v>
      </c>
      <c r="V78" s="2">
        <v>10.0</v>
      </c>
      <c r="W78" s="2">
        <v>100.0</v>
      </c>
      <c r="X78" s="2">
        <v>30.0</v>
      </c>
      <c r="Y78" s="2">
        <v>0.0</v>
      </c>
      <c r="Z78" s="2">
        <v>0.0</v>
      </c>
      <c r="AA78" s="2">
        <v>70.0</v>
      </c>
      <c r="AB78" s="2">
        <v>0.0</v>
      </c>
      <c r="AC78" s="2">
        <v>0.0</v>
      </c>
      <c r="AD78" s="2">
        <v>0.0</v>
      </c>
      <c r="AE78" s="2">
        <v>114.0</v>
      </c>
      <c r="AF78" s="2">
        <v>10.0</v>
      </c>
      <c r="AG78" s="2">
        <v>30.0</v>
      </c>
      <c r="AH78" s="2">
        <v>70.0</v>
      </c>
      <c r="AI78" s="2" t="s">
        <v>886</v>
      </c>
      <c r="AJ78" s="2" t="s">
        <v>887</v>
      </c>
      <c r="AK78" s="2">
        <v>11.7983091414285</v>
      </c>
      <c r="AL78" s="2">
        <v>4.19335685056673</v>
      </c>
      <c r="AM78" s="2" t="s">
        <v>55</v>
      </c>
      <c r="AN78" s="2">
        <v>3.029</v>
      </c>
      <c r="AO78" s="2" t="s">
        <v>31</v>
      </c>
      <c r="AP78" s="2">
        <v>0.300943396226415</v>
      </c>
      <c r="AQ78" s="2">
        <v>0.699056603773585</v>
      </c>
      <c r="AR78" s="2">
        <v>0.699056603773585</v>
      </c>
      <c r="AS78" s="2">
        <v>4.0</v>
      </c>
    </row>
    <row r="79" ht="15.75" customHeight="1">
      <c r="A79" s="2">
        <v>8.0</v>
      </c>
      <c r="B79" s="2">
        <v>1510.989258</v>
      </c>
      <c r="C79" s="2">
        <v>115.0</v>
      </c>
      <c r="D79" s="2">
        <v>1529606.635</v>
      </c>
      <c r="E79" s="2">
        <v>5441756.536</v>
      </c>
      <c r="F79" s="2">
        <v>1510.989258</v>
      </c>
      <c r="G79" s="2" t="s">
        <v>77</v>
      </c>
      <c r="H79" s="2" t="s">
        <v>890</v>
      </c>
      <c r="I79" s="2">
        <v>45391.0</v>
      </c>
      <c r="J79" s="2">
        <v>4.0</v>
      </c>
      <c r="K79" s="2" t="s">
        <v>31</v>
      </c>
      <c r="L79" s="2" t="s">
        <v>868</v>
      </c>
      <c r="M79" s="2">
        <v>4.0</v>
      </c>
      <c r="N79" s="2">
        <v>70.0</v>
      </c>
      <c r="O79" s="2">
        <v>0.0</v>
      </c>
      <c r="P79" s="2">
        <v>0.0</v>
      </c>
      <c r="Q79" s="2">
        <v>0.0</v>
      </c>
      <c r="R79" s="2">
        <v>0.0</v>
      </c>
      <c r="S79" s="2">
        <v>0.0</v>
      </c>
      <c r="T79" s="2">
        <v>0.0</v>
      </c>
      <c r="U79" s="2">
        <v>10.0</v>
      </c>
      <c r="V79" s="2">
        <v>20.0</v>
      </c>
      <c r="W79" s="2">
        <v>100.0</v>
      </c>
      <c r="X79" s="2">
        <v>0.0</v>
      </c>
      <c r="Y79" s="2">
        <v>0.0</v>
      </c>
      <c r="Z79" s="2">
        <v>0.0</v>
      </c>
      <c r="AA79" s="2">
        <v>80.0</v>
      </c>
      <c r="AB79" s="2">
        <v>20.0</v>
      </c>
      <c r="AC79" s="2">
        <v>0.0</v>
      </c>
      <c r="AD79" s="2">
        <v>0.0</v>
      </c>
      <c r="AE79" s="2">
        <v>115.0</v>
      </c>
      <c r="AF79" s="2">
        <v>15.0</v>
      </c>
      <c r="AG79" s="2">
        <v>30.0</v>
      </c>
      <c r="AH79" s="2">
        <v>100.0</v>
      </c>
      <c r="AI79" s="2" t="s">
        <v>893</v>
      </c>
      <c r="AJ79" s="2" t="s">
        <v>894</v>
      </c>
      <c r="AK79" s="2">
        <v>17.2526871619036</v>
      </c>
      <c r="AL79" s="2">
        <v>1.33499726173246</v>
      </c>
      <c r="AM79" s="2" t="s">
        <v>55</v>
      </c>
      <c r="AN79" s="2">
        <v>3.029</v>
      </c>
      <c r="AO79" s="2" t="s">
        <v>31</v>
      </c>
      <c r="AP79" s="2">
        <v>0.300943396226415</v>
      </c>
      <c r="AQ79" s="2">
        <v>0.997641509433962</v>
      </c>
      <c r="AR79" s="2">
        <v>0.699056603773585</v>
      </c>
      <c r="AS79" s="2">
        <v>4.0</v>
      </c>
    </row>
    <row r="80" ht="15.75" customHeight="1">
      <c r="A80" s="2">
        <v>8.0</v>
      </c>
      <c r="B80" s="2">
        <v>1512.642334</v>
      </c>
      <c r="C80" s="2">
        <v>116.0</v>
      </c>
      <c r="D80" s="2">
        <v>1529601.357</v>
      </c>
      <c r="E80" s="2">
        <v>5441758.667</v>
      </c>
      <c r="F80" s="2">
        <v>1512.642334</v>
      </c>
      <c r="G80" s="2" t="s">
        <v>77</v>
      </c>
      <c r="H80" s="2" t="s">
        <v>897</v>
      </c>
      <c r="I80" s="2">
        <v>45391.0</v>
      </c>
      <c r="J80" s="2">
        <v>5.0</v>
      </c>
      <c r="K80" s="2" t="s">
        <v>31</v>
      </c>
      <c r="L80" s="2" t="s">
        <v>868</v>
      </c>
      <c r="M80" s="2">
        <v>4.0</v>
      </c>
      <c r="N80" s="2">
        <v>100.0</v>
      </c>
      <c r="O80" s="2">
        <v>0.0</v>
      </c>
      <c r="P80" s="2">
        <v>0.0</v>
      </c>
      <c r="Q80" s="2">
        <v>0.0</v>
      </c>
      <c r="R80" s="2">
        <v>0.0</v>
      </c>
      <c r="S80" s="2">
        <v>0.0</v>
      </c>
      <c r="T80" s="2">
        <v>0.0</v>
      </c>
      <c r="U80" s="2">
        <v>0.0</v>
      </c>
      <c r="V80" s="2">
        <v>0.0</v>
      </c>
      <c r="W80" s="2">
        <v>100.0</v>
      </c>
      <c r="X80" s="2">
        <v>0.0</v>
      </c>
      <c r="Y80" s="2">
        <v>0.0</v>
      </c>
      <c r="Z80" s="2">
        <v>0.0</v>
      </c>
      <c r="AA80" s="2">
        <v>100.0</v>
      </c>
      <c r="AB80" s="2">
        <v>0.0</v>
      </c>
      <c r="AC80" s="2">
        <v>0.0</v>
      </c>
      <c r="AD80" s="2">
        <v>0.0</v>
      </c>
      <c r="AE80" s="2">
        <v>116.0</v>
      </c>
      <c r="AF80" s="2">
        <v>20.0</v>
      </c>
      <c r="AG80" s="2">
        <v>0.0</v>
      </c>
      <c r="AH80" s="2">
        <v>100.0</v>
      </c>
      <c r="AI80" s="2" t="s">
        <v>900</v>
      </c>
      <c r="AJ80" s="2" t="s">
        <v>901</v>
      </c>
      <c r="AK80" s="2">
        <v>18.0205098859666</v>
      </c>
      <c r="AL80" s="2">
        <v>4.36500974617161</v>
      </c>
      <c r="AM80" s="2" t="s">
        <v>74</v>
      </c>
      <c r="AN80" s="2">
        <v>3.029</v>
      </c>
      <c r="AO80" s="2" t="s">
        <v>31</v>
      </c>
      <c r="AP80" s="2">
        <v>0.00235849056603774</v>
      </c>
      <c r="AQ80" s="2">
        <v>0.997641509433962</v>
      </c>
      <c r="AR80" s="2">
        <v>0.997641509433962</v>
      </c>
      <c r="AS80" s="2">
        <v>4.0</v>
      </c>
    </row>
    <row r="81" ht="15.75" customHeight="1">
      <c r="A81" s="2">
        <v>8.0</v>
      </c>
      <c r="B81" s="2">
        <v>1512.977417</v>
      </c>
      <c r="C81" s="2">
        <v>117.0</v>
      </c>
      <c r="D81" s="2">
        <v>1529597.337</v>
      </c>
      <c r="E81" s="2">
        <v>5441760.571</v>
      </c>
      <c r="F81" s="2">
        <v>1512.977417</v>
      </c>
      <c r="G81" s="2" t="s">
        <v>77</v>
      </c>
      <c r="H81" s="2" t="s">
        <v>904</v>
      </c>
      <c r="I81" s="2">
        <v>45391.0</v>
      </c>
      <c r="J81" s="2">
        <v>6.0</v>
      </c>
      <c r="K81" s="2" t="s">
        <v>31</v>
      </c>
      <c r="L81" s="2" t="s">
        <v>868</v>
      </c>
      <c r="M81" s="2">
        <v>4.0</v>
      </c>
      <c r="N81" s="2">
        <v>100.0</v>
      </c>
      <c r="O81" s="2">
        <v>0.0</v>
      </c>
      <c r="P81" s="2">
        <v>0.0</v>
      </c>
      <c r="Q81" s="2">
        <v>0.0</v>
      </c>
      <c r="R81" s="2">
        <v>0.0</v>
      </c>
      <c r="S81" s="2">
        <v>0.0</v>
      </c>
      <c r="T81" s="2">
        <v>0.0</v>
      </c>
      <c r="U81" s="2">
        <v>0.0</v>
      </c>
      <c r="V81" s="2">
        <v>0.0</v>
      </c>
      <c r="W81" s="2">
        <v>100.0</v>
      </c>
      <c r="X81" s="2">
        <v>0.0</v>
      </c>
      <c r="Y81" s="2">
        <v>0.0</v>
      </c>
      <c r="Z81" s="2">
        <v>0.0</v>
      </c>
      <c r="AA81" s="2">
        <v>0.0</v>
      </c>
      <c r="AB81" s="2">
        <v>0.0</v>
      </c>
      <c r="AC81" s="2">
        <v>100.0</v>
      </c>
      <c r="AD81" s="2">
        <v>0.0</v>
      </c>
      <c r="AE81" s="2">
        <v>117.0</v>
      </c>
      <c r="AF81" s="2">
        <v>25.0</v>
      </c>
      <c r="AG81" s="2">
        <v>0.0</v>
      </c>
      <c r="AH81" s="2">
        <v>100.0</v>
      </c>
      <c r="AI81" s="2" t="s">
        <v>905</v>
      </c>
      <c r="AJ81" s="2" t="s">
        <v>906</v>
      </c>
      <c r="AK81" s="2">
        <v>18.8776188313253</v>
      </c>
      <c r="AL81" s="2">
        <v>3.52286367104626</v>
      </c>
      <c r="AM81" s="2" t="s">
        <v>179</v>
      </c>
      <c r="AN81" s="2">
        <v>3.029</v>
      </c>
      <c r="AO81" s="2" t="s">
        <v>31</v>
      </c>
      <c r="AP81" s="2">
        <v>0.00235849056603774</v>
      </c>
      <c r="AQ81" s="2">
        <v>0.997641509433962</v>
      </c>
      <c r="AR81" s="2">
        <v>0.997641509433962</v>
      </c>
      <c r="AS81" s="2">
        <v>4.0</v>
      </c>
    </row>
    <row r="82" ht="15.75" customHeight="1">
      <c r="A82" s="2">
        <v>8.0</v>
      </c>
      <c r="B82" s="2">
        <v>1512.697876</v>
      </c>
      <c r="C82" s="2">
        <v>118.0</v>
      </c>
      <c r="D82" s="2">
        <v>1529594.334</v>
      </c>
      <c r="E82" s="2">
        <v>5441764.915</v>
      </c>
      <c r="F82" s="2">
        <v>1512.697876</v>
      </c>
      <c r="G82" s="2" t="s">
        <v>77</v>
      </c>
      <c r="H82" s="2" t="s">
        <v>907</v>
      </c>
      <c r="I82" s="2">
        <v>45391.0</v>
      </c>
      <c r="J82" s="2">
        <v>7.0</v>
      </c>
      <c r="K82" s="2" t="s">
        <v>31</v>
      </c>
      <c r="L82" s="2" t="s">
        <v>868</v>
      </c>
      <c r="M82" s="2">
        <v>3.0</v>
      </c>
      <c r="N82" s="2">
        <v>20.0</v>
      </c>
      <c r="O82" s="2">
        <v>0.0</v>
      </c>
      <c r="P82" s="2">
        <v>20.0</v>
      </c>
      <c r="Q82" s="2">
        <v>20.0</v>
      </c>
      <c r="R82" s="2">
        <v>0.0</v>
      </c>
      <c r="S82" s="2">
        <v>30.0</v>
      </c>
      <c r="T82" s="2">
        <v>0.0</v>
      </c>
      <c r="U82" s="2">
        <v>0.0</v>
      </c>
      <c r="V82" s="2">
        <v>10.0</v>
      </c>
      <c r="W82" s="2">
        <v>100.0</v>
      </c>
      <c r="X82" s="2">
        <v>40.0</v>
      </c>
      <c r="Y82" s="2">
        <v>0.0</v>
      </c>
      <c r="Z82" s="2">
        <v>0.0</v>
      </c>
      <c r="AA82" s="2">
        <v>60.0</v>
      </c>
      <c r="AB82" s="2">
        <v>0.0</v>
      </c>
      <c r="AC82" s="2">
        <v>0.0</v>
      </c>
      <c r="AD82" s="2">
        <v>0.0</v>
      </c>
      <c r="AE82" s="2">
        <v>118.0</v>
      </c>
      <c r="AF82" s="2">
        <v>30.0</v>
      </c>
      <c r="AG82" s="2">
        <v>40.0</v>
      </c>
      <c r="AH82" s="2">
        <v>60.0</v>
      </c>
      <c r="AI82" s="2" t="s">
        <v>912</v>
      </c>
      <c r="AJ82" s="2" t="s">
        <v>913</v>
      </c>
      <c r="AK82" s="2">
        <v>22.3498805154772</v>
      </c>
      <c r="AL82" s="2">
        <v>1.9429211591115</v>
      </c>
      <c r="AM82" s="2" t="s">
        <v>179</v>
      </c>
      <c r="AN82" s="2">
        <v>3.029</v>
      </c>
      <c r="AO82" s="2" t="s">
        <v>31</v>
      </c>
      <c r="AP82" s="2">
        <v>0.400471698113208</v>
      </c>
      <c r="AQ82" s="2">
        <v>0.599528301886792</v>
      </c>
      <c r="AR82" s="2">
        <v>0.201415094339623</v>
      </c>
      <c r="AS82" s="2">
        <v>3.0</v>
      </c>
    </row>
    <row r="83" ht="15.75" customHeight="1">
      <c r="A83" s="2">
        <v>8.0</v>
      </c>
      <c r="B83" s="2">
        <v>1512.515625</v>
      </c>
      <c r="C83" s="2">
        <v>119.0</v>
      </c>
      <c r="D83" s="2">
        <v>1529590.987</v>
      </c>
      <c r="E83" s="2">
        <v>5441767.372</v>
      </c>
      <c r="F83" s="2">
        <v>1512.515625</v>
      </c>
      <c r="G83" s="2" t="s">
        <v>77</v>
      </c>
      <c r="H83" s="2" t="s">
        <v>916</v>
      </c>
      <c r="I83" s="2">
        <v>45391.0</v>
      </c>
      <c r="J83" s="2">
        <v>8.0</v>
      </c>
      <c r="K83" s="2" t="s">
        <v>31</v>
      </c>
      <c r="L83" s="2" t="s">
        <v>868</v>
      </c>
      <c r="M83" s="2">
        <v>3.0</v>
      </c>
      <c r="N83" s="2">
        <v>40.0</v>
      </c>
      <c r="O83" s="2">
        <v>0.0</v>
      </c>
      <c r="P83" s="2">
        <v>20.0</v>
      </c>
      <c r="Q83" s="2">
        <v>30.0</v>
      </c>
      <c r="R83" s="2">
        <v>0.0</v>
      </c>
      <c r="S83" s="2">
        <v>10.0</v>
      </c>
      <c r="T83" s="2">
        <v>0.0</v>
      </c>
      <c r="U83" s="2">
        <v>0.0</v>
      </c>
      <c r="V83" s="2">
        <v>0.0</v>
      </c>
      <c r="W83" s="2">
        <v>100.0</v>
      </c>
      <c r="X83" s="2">
        <v>50.0</v>
      </c>
      <c r="Y83" s="2">
        <v>0.0</v>
      </c>
      <c r="Z83" s="2">
        <v>0.0</v>
      </c>
      <c r="AA83" s="2">
        <v>50.0</v>
      </c>
      <c r="AB83" s="2">
        <v>0.0</v>
      </c>
      <c r="AC83" s="2">
        <v>0.0</v>
      </c>
      <c r="AD83" s="2">
        <v>20.0</v>
      </c>
      <c r="AE83" s="2">
        <v>119.0</v>
      </c>
      <c r="AF83" s="2">
        <v>35.0</v>
      </c>
      <c r="AG83" s="2">
        <v>10.0</v>
      </c>
      <c r="AH83" s="2">
        <v>50.0</v>
      </c>
      <c r="AI83" s="2" t="s">
        <v>918</v>
      </c>
      <c r="AJ83" s="2" t="s">
        <v>920</v>
      </c>
      <c r="AK83" s="2">
        <v>23.9084898943244</v>
      </c>
      <c r="AL83" s="2">
        <v>6.09465586570154</v>
      </c>
      <c r="AM83" s="2" t="s">
        <v>179</v>
      </c>
      <c r="AN83" s="2">
        <v>3.029</v>
      </c>
      <c r="AO83" s="2" t="s">
        <v>31</v>
      </c>
      <c r="AP83" s="2">
        <v>0.10188679245283</v>
      </c>
      <c r="AQ83" s="2">
        <v>0.5</v>
      </c>
      <c r="AR83" s="2">
        <v>0.400471698113208</v>
      </c>
      <c r="AS83" s="2">
        <v>3.0</v>
      </c>
    </row>
    <row r="84" ht="15.75" customHeight="1">
      <c r="A84" s="2">
        <v>8.0</v>
      </c>
      <c r="B84" s="2">
        <v>1512.784546</v>
      </c>
      <c r="C84" s="2">
        <v>120.0</v>
      </c>
      <c r="D84" s="2">
        <v>1529588.89</v>
      </c>
      <c r="E84" s="2">
        <v>5441767.38</v>
      </c>
      <c r="F84" s="2">
        <v>1512.784546</v>
      </c>
      <c r="G84" s="2" t="s">
        <v>77</v>
      </c>
      <c r="H84" s="2" t="s">
        <v>921</v>
      </c>
      <c r="I84" s="2">
        <v>45391.0</v>
      </c>
      <c r="J84" s="2">
        <v>9.0</v>
      </c>
      <c r="K84" s="2" t="s">
        <v>31</v>
      </c>
      <c r="L84" s="2" t="s">
        <v>868</v>
      </c>
      <c r="M84" s="2">
        <v>2.0</v>
      </c>
      <c r="N84" s="2">
        <v>0.0</v>
      </c>
      <c r="O84" s="2">
        <v>0.0</v>
      </c>
      <c r="P84" s="2">
        <v>30.0</v>
      </c>
      <c r="Q84" s="2">
        <v>0.0</v>
      </c>
      <c r="R84" s="2">
        <v>0.0</v>
      </c>
      <c r="S84" s="2">
        <v>30.0</v>
      </c>
      <c r="T84" s="2">
        <v>0.0</v>
      </c>
      <c r="U84" s="2">
        <v>30.0</v>
      </c>
      <c r="V84" s="2">
        <v>10.0</v>
      </c>
      <c r="W84" s="2">
        <v>100.0</v>
      </c>
      <c r="X84" s="2">
        <v>90.0</v>
      </c>
      <c r="Y84" s="2">
        <v>0.0</v>
      </c>
      <c r="Z84" s="2">
        <v>0.0</v>
      </c>
      <c r="AA84" s="2">
        <v>10.0</v>
      </c>
      <c r="AB84" s="2">
        <v>0.0</v>
      </c>
      <c r="AC84" s="2">
        <v>0.0</v>
      </c>
      <c r="AD84" s="2">
        <v>0.0</v>
      </c>
      <c r="AE84" s="2">
        <v>120.0</v>
      </c>
      <c r="AF84" s="2">
        <v>40.0</v>
      </c>
      <c r="AG84" s="2">
        <v>70.0</v>
      </c>
      <c r="AH84" s="2">
        <v>10.0</v>
      </c>
      <c r="AI84" s="2" t="s">
        <v>924</v>
      </c>
      <c r="AJ84" s="2" t="s">
        <v>925</v>
      </c>
      <c r="AK84" s="2">
        <v>23.4006333858358</v>
      </c>
      <c r="AL84" s="2">
        <v>7.89328600044201</v>
      </c>
      <c r="AM84" s="2" t="s">
        <v>179</v>
      </c>
      <c r="AN84" s="2">
        <v>3.029</v>
      </c>
      <c r="AO84" s="2" t="s">
        <v>31</v>
      </c>
      <c r="AP84" s="2">
        <v>0.699056603773585</v>
      </c>
      <c r="AQ84" s="2">
        <v>0.10188679245283</v>
      </c>
      <c r="AR84" s="2">
        <v>0.00235849056603774</v>
      </c>
      <c r="AS84" s="2">
        <v>2.0</v>
      </c>
    </row>
    <row r="85" ht="15.75" customHeight="1">
      <c r="A85" s="2">
        <v>8.0</v>
      </c>
      <c r="B85" s="2">
        <v>1513.023438</v>
      </c>
      <c r="C85" s="2">
        <v>121.0</v>
      </c>
      <c r="D85" s="2">
        <v>1529583.527</v>
      </c>
      <c r="E85" s="2">
        <v>5441769.401</v>
      </c>
      <c r="F85" s="2">
        <v>1513.023438</v>
      </c>
      <c r="G85" s="2" t="s">
        <v>77</v>
      </c>
      <c r="H85" s="2" t="s">
        <v>926</v>
      </c>
      <c r="I85" s="2">
        <v>45391.0</v>
      </c>
      <c r="J85" s="2">
        <v>10.0</v>
      </c>
      <c r="K85" s="2" t="s">
        <v>31</v>
      </c>
      <c r="L85" s="2" t="s">
        <v>868</v>
      </c>
      <c r="M85" s="2">
        <v>1.0</v>
      </c>
      <c r="N85" s="2">
        <v>0.0</v>
      </c>
      <c r="O85" s="2">
        <v>0.0</v>
      </c>
      <c r="P85" s="2">
        <v>0.0</v>
      </c>
      <c r="Q85" s="2">
        <v>50.0</v>
      </c>
      <c r="R85" s="2">
        <v>0.0</v>
      </c>
      <c r="S85" s="2">
        <v>30.0</v>
      </c>
      <c r="T85" s="2">
        <v>0.0</v>
      </c>
      <c r="U85" s="2">
        <v>20.0</v>
      </c>
      <c r="V85" s="2">
        <v>0.0</v>
      </c>
      <c r="W85" s="2">
        <v>100.0</v>
      </c>
      <c r="X85" s="2">
        <v>100.0</v>
      </c>
      <c r="Y85" s="2">
        <v>0.0</v>
      </c>
      <c r="Z85" s="2">
        <v>0.0</v>
      </c>
      <c r="AA85" s="2">
        <v>0.0</v>
      </c>
      <c r="AB85" s="2">
        <v>0.0</v>
      </c>
      <c r="AC85" s="2">
        <v>0.0</v>
      </c>
      <c r="AD85" s="2">
        <v>0.0</v>
      </c>
      <c r="AE85" s="2">
        <v>121.0</v>
      </c>
      <c r="AF85" s="2">
        <v>45.0</v>
      </c>
      <c r="AG85" s="2">
        <v>50.0</v>
      </c>
      <c r="AH85" s="2">
        <v>0.0</v>
      </c>
      <c r="AI85" s="2" t="s">
        <v>929</v>
      </c>
      <c r="AJ85" s="2" t="s">
        <v>930</v>
      </c>
      <c r="AK85" s="2">
        <v>23.9731932130248</v>
      </c>
      <c r="AL85" s="2">
        <v>13.6041253455656</v>
      </c>
      <c r="AM85" s="2" t="s">
        <v>179</v>
      </c>
      <c r="AN85" s="2">
        <v>3.029</v>
      </c>
      <c r="AO85" s="2" t="s">
        <v>31</v>
      </c>
      <c r="AP85" s="2">
        <v>0.5</v>
      </c>
      <c r="AQ85" s="2">
        <v>0.00235849056603774</v>
      </c>
      <c r="AR85" s="2">
        <v>0.00235849056603774</v>
      </c>
      <c r="AS85" s="2">
        <v>1.0</v>
      </c>
    </row>
    <row r="86" ht="15.75" customHeight="1">
      <c r="A86" s="2">
        <v>9.0</v>
      </c>
      <c r="B86" s="2">
        <v>1543.019531</v>
      </c>
      <c r="C86" s="2">
        <v>122.0</v>
      </c>
      <c r="D86" s="2">
        <v>1527480.175</v>
      </c>
      <c r="E86" s="2">
        <v>5440095.405</v>
      </c>
      <c r="F86" s="2">
        <v>1543.019531</v>
      </c>
      <c r="G86" s="2" t="s">
        <v>619</v>
      </c>
      <c r="H86" s="2" t="s">
        <v>935</v>
      </c>
      <c r="I86" s="2">
        <v>45392.0</v>
      </c>
      <c r="J86" s="2">
        <v>1.0</v>
      </c>
      <c r="K86" s="2" t="s">
        <v>31</v>
      </c>
      <c r="L86" s="2" t="s">
        <v>81</v>
      </c>
      <c r="M86" s="2">
        <v>3.0</v>
      </c>
      <c r="N86" s="2">
        <v>0.0</v>
      </c>
      <c r="O86" s="2">
        <v>0.0</v>
      </c>
      <c r="P86" s="2">
        <v>30.0</v>
      </c>
      <c r="Q86" s="2">
        <v>0.0</v>
      </c>
      <c r="R86" s="2">
        <v>0.0</v>
      </c>
      <c r="S86" s="2">
        <v>0.0</v>
      </c>
      <c r="T86" s="2">
        <v>60.0</v>
      </c>
      <c r="U86" s="2">
        <v>10.0</v>
      </c>
      <c r="V86" s="2">
        <v>0.0</v>
      </c>
      <c r="W86" s="2">
        <v>100.0</v>
      </c>
      <c r="X86" s="2">
        <v>60.0</v>
      </c>
      <c r="Y86" s="2">
        <v>0.0</v>
      </c>
      <c r="Z86" s="2">
        <v>0.0</v>
      </c>
      <c r="AA86" s="2">
        <v>40.0</v>
      </c>
      <c r="AB86" s="2">
        <v>0.0</v>
      </c>
      <c r="AC86" s="2">
        <v>0.0</v>
      </c>
      <c r="AD86" s="2">
        <v>0.0</v>
      </c>
      <c r="AE86" s="2">
        <v>122.0</v>
      </c>
      <c r="AF86" s="2">
        <v>0.0</v>
      </c>
      <c r="AG86" s="2">
        <v>70.0</v>
      </c>
      <c r="AH86" s="2">
        <v>40.0</v>
      </c>
      <c r="AI86" s="2" t="s">
        <v>940</v>
      </c>
      <c r="AJ86" s="2" t="s">
        <v>941</v>
      </c>
      <c r="AK86" s="2">
        <v>6.19053515508185</v>
      </c>
      <c r="AL86" s="2">
        <v>15.726261412204</v>
      </c>
      <c r="AM86" s="2" t="s">
        <v>55</v>
      </c>
      <c r="AN86" s="2">
        <v>2.228</v>
      </c>
      <c r="AO86" s="2" t="s">
        <v>31</v>
      </c>
      <c r="AP86" s="2">
        <v>0.699056603773585</v>
      </c>
      <c r="AQ86" s="2">
        <v>0.400471698113208</v>
      </c>
      <c r="AR86" s="2">
        <v>0.00235849056603774</v>
      </c>
      <c r="AS86" s="2">
        <v>3.0</v>
      </c>
    </row>
    <row r="87" ht="15.75" customHeight="1">
      <c r="A87" s="2">
        <v>9.0</v>
      </c>
      <c r="B87" s="2">
        <v>1571.390503</v>
      </c>
      <c r="C87" s="2">
        <v>123.0</v>
      </c>
      <c r="D87" s="2">
        <v>1527468.712</v>
      </c>
      <c r="E87" s="2">
        <v>5440103.444</v>
      </c>
      <c r="F87" s="2">
        <v>1571.390503</v>
      </c>
      <c r="G87" s="2" t="s">
        <v>619</v>
      </c>
      <c r="H87" s="2" t="s">
        <v>944</v>
      </c>
      <c r="I87" s="2">
        <v>45392.0</v>
      </c>
      <c r="J87" s="2">
        <v>2.0</v>
      </c>
      <c r="K87" s="2" t="s">
        <v>31</v>
      </c>
      <c r="L87" s="2" t="s">
        <v>81</v>
      </c>
      <c r="M87" s="2">
        <v>4.0</v>
      </c>
      <c r="N87" s="2">
        <v>60.0</v>
      </c>
      <c r="O87" s="2">
        <v>0.0</v>
      </c>
      <c r="P87" s="2">
        <v>15.0</v>
      </c>
      <c r="Q87" s="2">
        <v>0.0</v>
      </c>
      <c r="R87" s="2">
        <v>0.0</v>
      </c>
      <c r="S87" s="2">
        <v>0.0</v>
      </c>
      <c r="T87" s="2">
        <v>25.0</v>
      </c>
      <c r="U87" s="2">
        <v>0.0</v>
      </c>
      <c r="V87" s="2">
        <v>0.0</v>
      </c>
      <c r="W87" s="2">
        <v>100.0</v>
      </c>
      <c r="X87" s="2">
        <v>25.0</v>
      </c>
      <c r="Y87" s="2">
        <v>0.0</v>
      </c>
      <c r="Z87" s="2">
        <v>0.0</v>
      </c>
      <c r="AA87" s="2">
        <v>0.0</v>
      </c>
      <c r="AB87" s="2">
        <v>0.0</v>
      </c>
      <c r="AC87" s="2">
        <v>75.0</v>
      </c>
      <c r="AD87" s="2">
        <v>0.0</v>
      </c>
      <c r="AE87" s="2">
        <v>123.0</v>
      </c>
      <c r="AF87" s="2">
        <v>5.0</v>
      </c>
      <c r="AG87" s="2">
        <v>25.0</v>
      </c>
      <c r="AH87" s="2">
        <v>75.0</v>
      </c>
      <c r="AI87" s="2" t="s">
        <v>947</v>
      </c>
      <c r="AJ87" s="2" t="s">
        <v>948</v>
      </c>
      <c r="AK87" s="2">
        <v>3.89702010899991</v>
      </c>
      <c r="AL87" s="2">
        <v>8.10888426356594</v>
      </c>
      <c r="AM87" s="2" t="s">
        <v>55</v>
      </c>
      <c r="AN87" s="2">
        <v>2.228</v>
      </c>
      <c r="AO87" s="2" t="s">
        <v>31</v>
      </c>
      <c r="AP87" s="2">
        <v>0.251179245283019</v>
      </c>
      <c r="AQ87" s="2">
        <v>0.748820754716981</v>
      </c>
      <c r="AR87" s="2">
        <v>0.599528301886792</v>
      </c>
      <c r="AS87" s="2">
        <v>4.0</v>
      </c>
    </row>
    <row r="88" ht="15.75" customHeight="1">
      <c r="A88" s="2">
        <v>9.0</v>
      </c>
      <c r="B88" s="2">
        <v>1569.364136</v>
      </c>
      <c r="C88" s="2">
        <v>124.0</v>
      </c>
      <c r="D88" s="2">
        <v>1527463.934</v>
      </c>
      <c r="E88" s="2">
        <v>5440104.35</v>
      </c>
      <c r="F88" s="2">
        <v>1569.364136</v>
      </c>
      <c r="G88" s="2" t="s">
        <v>619</v>
      </c>
      <c r="H88" s="2" t="s">
        <v>953</v>
      </c>
      <c r="I88" s="2">
        <v>45392.0</v>
      </c>
      <c r="J88" s="2">
        <v>3.0</v>
      </c>
      <c r="K88" s="2" t="s">
        <v>31</v>
      </c>
      <c r="L88" s="2" t="s">
        <v>81</v>
      </c>
      <c r="M88" s="2">
        <v>3.0</v>
      </c>
      <c r="N88" s="2">
        <v>0.0</v>
      </c>
      <c r="O88" s="2">
        <v>0.0</v>
      </c>
      <c r="P88" s="2">
        <v>20.0</v>
      </c>
      <c r="Q88" s="2">
        <v>20.0</v>
      </c>
      <c r="R88" s="2">
        <v>0.0</v>
      </c>
      <c r="S88" s="2">
        <v>0.0</v>
      </c>
      <c r="T88" s="2">
        <v>60.0</v>
      </c>
      <c r="U88" s="2">
        <v>0.0</v>
      </c>
      <c r="V88" s="2">
        <v>0.0</v>
      </c>
      <c r="W88" s="2">
        <v>100.0</v>
      </c>
      <c r="X88" s="2">
        <v>40.0</v>
      </c>
      <c r="Y88" s="2">
        <v>0.0</v>
      </c>
      <c r="Z88" s="2">
        <v>0.0</v>
      </c>
      <c r="AA88" s="2">
        <v>60.0</v>
      </c>
      <c r="AB88" s="2">
        <v>0.0</v>
      </c>
      <c r="AC88" s="2">
        <v>0.0</v>
      </c>
      <c r="AD88" s="2">
        <v>0.0</v>
      </c>
      <c r="AE88" s="2">
        <v>124.0</v>
      </c>
      <c r="AF88" s="2">
        <v>10.0</v>
      </c>
      <c r="AG88" s="2">
        <v>60.0</v>
      </c>
      <c r="AH88" s="2">
        <v>60.0</v>
      </c>
      <c r="AI88" s="2" t="s">
        <v>956</v>
      </c>
      <c r="AJ88" s="2" t="s">
        <v>957</v>
      </c>
      <c r="AK88" s="2">
        <v>5.34978423197433</v>
      </c>
      <c r="AL88" s="2">
        <v>3.57500713248879</v>
      </c>
      <c r="AM88" s="2" t="s">
        <v>55</v>
      </c>
      <c r="AN88" s="2">
        <v>2.228</v>
      </c>
      <c r="AO88" s="2" t="s">
        <v>31</v>
      </c>
      <c r="AP88" s="2">
        <v>0.599528301886792</v>
      </c>
      <c r="AQ88" s="2">
        <v>0.599528301886792</v>
      </c>
      <c r="AR88" s="2">
        <v>0.00235849056603774</v>
      </c>
      <c r="AS88" s="2">
        <v>3.0</v>
      </c>
    </row>
    <row r="89" ht="15.75" customHeight="1">
      <c r="A89" s="2">
        <v>9.0</v>
      </c>
      <c r="B89" s="2">
        <v>1569.456055</v>
      </c>
      <c r="C89" s="2">
        <v>125.0</v>
      </c>
      <c r="D89" s="2">
        <v>1527455.876</v>
      </c>
      <c r="E89" s="2">
        <v>5440103.27</v>
      </c>
      <c r="F89" s="2">
        <v>1569.456055</v>
      </c>
      <c r="G89" s="2" t="s">
        <v>619</v>
      </c>
      <c r="H89" s="2" t="s">
        <v>961</v>
      </c>
      <c r="I89" s="2">
        <v>45392.0</v>
      </c>
      <c r="J89" s="2">
        <v>4.0</v>
      </c>
      <c r="K89" s="2" t="s">
        <v>31</v>
      </c>
      <c r="L89" s="2" t="s">
        <v>81</v>
      </c>
      <c r="M89" s="2">
        <v>3.0</v>
      </c>
      <c r="N89" s="2">
        <v>0.0</v>
      </c>
      <c r="O89" s="2">
        <v>0.0</v>
      </c>
      <c r="P89" s="2">
        <v>20.0</v>
      </c>
      <c r="Q89" s="2">
        <v>10.0</v>
      </c>
      <c r="R89" s="2">
        <v>0.0</v>
      </c>
      <c r="S89" s="2">
        <v>0.0</v>
      </c>
      <c r="T89" s="2">
        <v>70.0</v>
      </c>
      <c r="U89" s="2">
        <v>0.0</v>
      </c>
      <c r="V89" s="2">
        <v>0.0</v>
      </c>
      <c r="W89" s="2">
        <v>100.0</v>
      </c>
      <c r="X89" s="2">
        <v>40.0</v>
      </c>
      <c r="Y89" s="2">
        <v>0.0</v>
      </c>
      <c r="Z89" s="2">
        <v>0.0</v>
      </c>
      <c r="AA89" s="2">
        <v>60.0</v>
      </c>
      <c r="AB89" s="2">
        <v>0.0</v>
      </c>
      <c r="AC89" s="2">
        <v>0.0</v>
      </c>
      <c r="AD89" s="2">
        <v>0.0</v>
      </c>
      <c r="AE89" s="2">
        <v>125.0</v>
      </c>
      <c r="AF89" s="2">
        <v>15.0</v>
      </c>
      <c r="AG89" s="2">
        <v>70.0</v>
      </c>
      <c r="AH89" s="2">
        <v>60.0</v>
      </c>
      <c r="AI89" s="2" t="s">
        <v>965</v>
      </c>
      <c r="AJ89" s="2" t="s">
        <v>966</v>
      </c>
      <c r="AK89" s="2">
        <v>5.9586152551205</v>
      </c>
      <c r="AL89" s="2">
        <v>4.74438194087442</v>
      </c>
      <c r="AM89" s="2" t="s">
        <v>55</v>
      </c>
      <c r="AN89" s="2">
        <v>2.228</v>
      </c>
      <c r="AO89" s="2" t="s">
        <v>31</v>
      </c>
      <c r="AP89" s="2">
        <v>0.699056603773585</v>
      </c>
      <c r="AQ89" s="2">
        <v>0.599528301886792</v>
      </c>
      <c r="AR89" s="2">
        <v>0.00235849056603774</v>
      </c>
      <c r="AS89" s="2">
        <v>3.0</v>
      </c>
    </row>
    <row r="90" ht="15.75" customHeight="1">
      <c r="A90" s="2">
        <v>9.0</v>
      </c>
      <c r="B90" s="2">
        <v>1572.590942</v>
      </c>
      <c r="C90" s="2">
        <v>126.0</v>
      </c>
      <c r="D90" s="2">
        <v>1527457.481</v>
      </c>
      <c r="E90" s="2">
        <v>5440106.152</v>
      </c>
      <c r="F90" s="2">
        <v>1572.590942</v>
      </c>
      <c r="G90" s="2" t="s">
        <v>619</v>
      </c>
      <c r="H90" s="2" t="s">
        <v>969</v>
      </c>
      <c r="I90" s="2">
        <v>45392.0</v>
      </c>
      <c r="J90" s="2">
        <v>5.0</v>
      </c>
      <c r="K90" s="2" t="s">
        <v>31</v>
      </c>
      <c r="L90" s="2" t="s">
        <v>81</v>
      </c>
      <c r="M90" s="2">
        <v>2.0</v>
      </c>
      <c r="N90" s="2">
        <v>0.0</v>
      </c>
      <c r="O90" s="2">
        <v>0.0</v>
      </c>
      <c r="P90" s="2">
        <v>0.0</v>
      </c>
      <c r="Q90" s="2">
        <v>0.0</v>
      </c>
      <c r="R90" s="2">
        <v>0.0</v>
      </c>
      <c r="S90" s="2">
        <v>0.0</v>
      </c>
      <c r="T90" s="2">
        <v>90.0</v>
      </c>
      <c r="U90" s="2">
        <v>10.0</v>
      </c>
      <c r="V90" s="2">
        <v>0.0</v>
      </c>
      <c r="W90" s="2">
        <v>100.0</v>
      </c>
      <c r="X90" s="2">
        <v>90.0</v>
      </c>
      <c r="Y90" s="2">
        <v>0.0</v>
      </c>
      <c r="Z90" s="2">
        <v>0.0</v>
      </c>
      <c r="AA90" s="2">
        <v>10.0</v>
      </c>
      <c r="AB90" s="2">
        <v>0.0</v>
      </c>
      <c r="AC90" s="2">
        <v>0.0</v>
      </c>
      <c r="AD90" s="2">
        <v>0.0</v>
      </c>
      <c r="AE90" s="2">
        <v>126.0</v>
      </c>
      <c r="AF90" s="2">
        <v>20.0</v>
      </c>
      <c r="AG90" s="2">
        <v>100.0</v>
      </c>
      <c r="AH90" s="2">
        <v>10.0</v>
      </c>
      <c r="AI90" s="2" t="s">
        <v>972</v>
      </c>
      <c r="AJ90" s="2" t="s">
        <v>974</v>
      </c>
      <c r="AK90" s="2">
        <v>8.63887534078671</v>
      </c>
      <c r="AL90" s="2">
        <v>4.42719696853122</v>
      </c>
      <c r="AM90" s="2" t="s">
        <v>55</v>
      </c>
      <c r="AN90" s="2">
        <v>2.228</v>
      </c>
      <c r="AO90" s="2" t="s">
        <v>31</v>
      </c>
      <c r="AP90" s="2">
        <v>0.997641509433962</v>
      </c>
      <c r="AQ90" s="2">
        <v>0.10188679245283</v>
      </c>
      <c r="AR90" s="2">
        <v>0.00235849056603774</v>
      </c>
      <c r="AS90" s="2">
        <v>2.0</v>
      </c>
    </row>
    <row r="91" ht="15.75" customHeight="1">
      <c r="A91" s="2">
        <v>9.0</v>
      </c>
      <c r="B91" s="2">
        <v>1569.466919</v>
      </c>
      <c r="C91" s="2">
        <v>127.0</v>
      </c>
      <c r="D91" s="2">
        <v>1527450.405</v>
      </c>
      <c r="E91" s="2">
        <v>5440098.626</v>
      </c>
      <c r="F91" s="2">
        <v>1569.466919</v>
      </c>
      <c r="G91" s="2" t="s">
        <v>619</v>
      </c>
      <c r="H91" s="2" t="s">
        <v>977</v>
      </c>
      <c r="I91" s="2">
        <v>45392.0</v>
      </c>
      <c r="J91" s="2">
        <v>6.0</v>
      </c>
      <c r="K91" s="2" t="s">
        <v>31</v>
      </c>
      <c r="L91" s="2" t="s">
        <v>81</v>
      </c>
      <c r="M91" s="2">
        <v>3.0</v>
      </c>
      <c r="N91" s="2">
        <v>0.0</v>
      </c>
      <c r="O91" s="2">
        <v>0.0</v>
      </c>
      <c r="P91" s="2">
        <v>40.0</v>
      </c>
      <c r="Q91" s="2">
        <v>0.0</v>
      </c>
      <c r="R91" s="2">
        <v>0.0</v>
      </c>
      <c r="S91" s="2">
        <v>0.0</v>
      </c>
      <c r="T91" s="2">
        <v>25.0</v>
      </c>
      <c r="U91" s="2">
        <v>20.0</v>
      </c>
      <c r="V91" s="2">
        <v>15.0</v>
      </c>
      <c r="W91" s="2">
        <v>100.0</v>
      </c>
      <c r="X91" s="2">
        <v>70.0</v>
      </c>
      <c r="Y91" s="2">
        <v>0.0</v>
      </c>
      <c r="Z91" s="2">
        <v>0.0</v>
      </c>
      <c r="AA91" s="2">
        <v>30.0</v>
      </c>
      <c r="AB91" s="2">
        <v>0.0</v>
      </c>
      <c r="AC91" s="2">
        <v>0.0</v>
      </c>
      <c r="AD91" s="2">
        <v>0.0</v>
      </c>
      <c r="AE91" s="2">
        <v>127.0</v>
      </c>
      <c r="AF91" s="2">
        <v>25.0</v>
      </c>
      <c r="AG91" s="2">
        <v>60.0</v>
      </c>
      <c r="AH91" s="2">
        <v>30.0</v>
      </c>
      <c r="AI91" s="2" t="s">
        <v>983</v>
      </c>
      <c r="AJ91" s="2" t="s">
        <v>985</v>
      </c>
      <c r="AK91" s="2">
        <v>1.9745470928063</v>
      </c>
      <c r="AL91" s="2">
        <v>5.3540942278102</v>
      </c>
      <c r="AM91" s="2" t="s">
        <v>55</v>
      </c>
      <c r="AN91" s="2">
        <v>2.228</v>
      </c>
      <c r="AO91" s="2" t="s">
        <v>31</v>
      </c>
      <c r="AP91" s="2">
        <v>0.599528301886792</v>
      </c>
      <c r="AQ91" s="2">
        <v>0.300943396226415</v>
      </c>
      <c r="AR91" s="2">
        <v>0.00235849056603774</v>
      </c>
      <c r="AS91" s="2">
        <v>3.0</v>
      </c>
    </row>
    <row r="92" ht="15.75" customHeight="1">
      <c r="A92" s="2">
        <v>9.0</v>
      </c>
      <c r="B92" s="2">
        <v>1570.967529</v>
      </c>
      <c r="C92" s="2">
        <v>128.0</v>
      </c>
      <c r="D92" s="2">
        <v>1527446.286</v>
      </c>
      <c r="E92" s="2">
        <v>5440096.421</v>
      </c>
      <c r="F92" s="2">
        <v>1570.967529</v>
      </c>
      <c r="G92" s="2" t="s">
        <v>619</v>
      </c>
      <c r="H92" s="2" t="s">
        <v>989</v>
      </c>
      <c r="I92" s="2">
        <v>45392.0</v>
      </c>
      <c r="J92" s="2">
        <v>7.0</v>
      </c>
      <c r="K92" s="2" t="s">
        <v>31</v>
      </c>
      <c r="L92" s="2" t="s">
        <v>81</v>
      </c>
      <c r="M92" s="2">
        <v>3.0</v>
      </c>
      <c r="N92" s="2">
        <v>40.0</v>
      </c>
      <c r="O92" s="2">
        <v>0.0</v>
      </c>
      <c r="P92" s="2">
        <v>0.0</v>
      </c>
      <c r="Q92" s="2">
        <v>0.0</v>
      </c>
      <c r="R92" s="2">
        <v>0.0</v>
      </c>
      <c r="S92" s="2">
        <v>15.0</v>
      </c>
      <c r="T92" s="2">
        <v>45.0</v>
      </c>
      <c r="U92" s="2">
        <v>0.0</v>
      </c>
      <c r="V92" s="2">
        <v>0.0</v>
      </c>
      <c r="W92" s="2">
        <v>100.0</v>
      </c>
      <c r="X92" s="2">
        <v>30.0</v>
      </c>
      <c r="Y92" s="2">
        <v>0.0</v>
      </c>
      <c r="Z92" s="2">
        <v>0.0</v>
      </c>
      <c r="AA92" s="2">
        <v>70.0</v>
      </c>
      <c r="AB92" s="2">
        <v>0.0</v>
      </c>
      <c r="AC92" s="2">
        <v>0.0</v>
      </c>
      <c r="AD92" s="2">
        <v>0.0</v>
      </c>
      <c r="AE92" s="2">
        <v>128.0</v>
      </c>
      <c r="AF92" s="2">
        <v>30.0</v>
      </c>
      <c r="AG92" s="2">
        <v>60.0</v>
      </c>
      <c r="AH92" s="2">
        <v>70.0</v>
      </c>
      <c r="AI92" s="2" t="s">
        <v>992</v>
      </c>
      <c r="AJ92" s="2" t="s">
        <v>993</v>
      </c>
      <c r="AK92" s="2">
        <v>0.503758819358286</v>
      </c>
      <c r="AL92" s="2">
        <v>0.693966137493897</v>
      </c>
      <c r="AM92" s="2" t="s">
        <v>55</v>
      </c>
      <c r="AN92" s="2">
        <v>2.228</v>
      </c>
      <c r="AO92" s="2" t="s">
        <v>31</v>
      </c>
      <c r="AP92" s="2">
        <v>0.599528301886792</v>
      </c>
      <c r="AQ92" s="2">
        <v>0.699056603773585</v>
      </c>
      <c r="AR92" s="2">
        <v>0.400471698113208</v>
      </c>
      <c r="AS92" s="2">
        <v>3.0</v>
      </c>
    </row>
    <row r="93" ht="15.75" customHeight="1">
      <c r="A93" s="2">
        <v>9.0</v>
      </c>
      <c r="B93" s="2">
        <v>1569.724487</v>
      </c>
      <c r="C93" s="2">
        <v>129.0</v>
      </c>
      <c r="D93" s="2">
        <v>1527442.435</v>
      </c>
      <c r="E93" s="2">
        <v>5440098.545</v>
      </c>
      <c r="F93" s="2">
        <v>1569.724487</v>
      </c>
      <c r="G93" s="2" t="s">
        <v>619</v>
      </c>
      <c r="H93" s="2" t="s">
        <v>997</v>
      </c>
      <c r="I93" s="2">
        <v>45392.0</v>
      </c>
      <c r="J93" s="2">
        <v>8.0</v>
      </c>
      <c r="K93" s="2" t="s">
        <v>31</v>
      </c>
      <c r="L93" s="2" t="s">
        <v>81</v>
      </c>
      <c r="M93" s="2">
        <v>4.0</v>
      </c>
      <c r="N93" s="2">
        <v>85.0</v>
      </c>
      <c r="O93" s="2">
        <v>15.0</v>
      </c>
      <c r="P93" s="2">
        <v>0.0</v>
      </c>
      <c r="Q93" s="2">
        <v>0.0</v>
      </c>
      <c r="R93" s="2">
        <v>0.0</v>
      </c>
      <c r="S93" s="2">
        <v>0.0</v>
      </c>
      <c r="T93" s="2">
        <v>0.0</v>
      </c>
      <c r="U93" s="2">
        <v>0.0</v>
      </c>
      <c r="V93" s="2">
        <v>0.0</v>
      </c>
      <c r="W93" s="2">
        <v>100.0</v>
      </c>
      <c r="X93" s="2">
        <v>0.0</v>
      </c>
      <c r="Y93" s="2">
        <v>0.0</v>
      </c>
      <c r="Z93" s="2">
        <v>0.0</v>
      </c>
      <c r="AA93" s="2">
        <v>0.0</v>
      </c>
      <c r="AB93" s="2">
        <v>0.0</v>
      </c>
      <c r="AC93" s="2">
        <v>100.0</v>
      </c>
      <c r="AD93" s="2">
        <v>0.0</v>
      </c>
      <c r="AE93" s="2">
        <v>129.0</v>
      </c>
      <c r="AF93" s="2">
        <v>35.0</v>
      </c>
      <c r="AG93" s="2">
        <v>0.0</v>
      </c>
      <c r="AH93" s="2">
        <v>100.0</v>
      </c>
      <c r="AI93" s="2" t="s">
        <v>1003</v>
      </c>
      <c r="AJ93" s="2" t="s">
        <v>1004</v>
      </c>
      <c r="AK93" s="2">
        <v>3.44664300806255</v>
      </c>
      <c r="AL93" s="2">
        <v>4.19287633938052</v>
      </c>
      <c r="AM93" s="2" t="s">
        <v>55</v>
      </c>
      <c r="AN93" s="2">
        <v>2.228</v>
      </c>
      <c r="AO93" s="2" t="s">
        <v>31</v>
      </c>
      <c r="AP93" s="2">
        <v>0.00235849056603774</v>
      </c>
      <c r="AQ93" s="2">
        <v>0.997641509433962</v>
      </c>
      <c r="AR93" s="2">
        <v>0.848349056603774</v>
      </c>
      <c r="AS93" s="2">
        <v>4.0</v>
      </c>
    </row>
    <row r="94" ht="15.75" customHeight="1">
      <c r="A94" s="2">
        <v>9.0</v>
      </c>
      <c r="B94" s="2">
        <v>1570.960693</v>
      </c>
      <c r="C94" s="2">
        <v>130.0</v>
      </c>
      <c r="D94" s="2">
        <v>1527433.455</v>
      </c>
      <c r="E94" s="2">
        <v>5440097.579</v>
      </c>
      <c r="F94" s="2">
        <v>1570.960693</v>
      </c>
      <c r="G94" s="2" t="s">
        <v>619</v>
      </c>
      <c r="H94" s="2" t="s">
        <v>1007</v>
      </c>
      <c r="I94" s="2">
        <v>45392.0</v>
      </c>
      <c r="J94" s="2">
        <v>9.0</v>
      </c>
      <c r="K94" s="2" t="s">
        <v>31</v>
      </c>
      <c r="L94" s="2" t="s">
        <v>81</v>
      </c>
      <c r="M94" s="2" t="s">
        <v>33</v>
      </c>
      <c r="N94" s="2">
        <v>0.0</v>
      </c>
      <c r="O94" s="2">
        <v>100.0</v>
      </c>
      <c r="P94" s="2">
        <v>0.0</v>
      </c>
      <c r="Q94" s="2">
        <v>0.0</v>
      </c>
      <c r="R94" s="2">
        <v>0.0</v>
      </c>
      <c r="S94" s="2">
        <v>0.0</v>
      </c>
      <c r="T94" s="2">
        <v>0.0</v>
      </c>
      <c r="U94" s="2">
        <v>0.0</v>
      </c>
      <c r="V94" s="2">
        <v>0.0</v>
      </c>
      <c r="W94" s="2">
        <v>100.0</v>
      </c>
      <c r="X94" s="2">
        <v>100.0</v>
      </c>
      <c r="Y94" s="2">
        <v>0.0</v>
      </c>
      <c r="Z94" s="2">
        <v>0.0</v>
      </c>
      <c r="AA94" s="2">
        <v>0.0</v>
      </c>
      <c r="AB94" s="2">
        <v>0.0</v>
      </c>
      <c r="AC94" s="2">
        <v>0.0</v>
      </c>
      <c r="AD94" s="2">
        <v>0.0</v>
      </c>
      <c r="AE94" s="2">
        <v>130.0</v>
      </c>
      <c r="AF94" s="2">
        <v>40.0</v>
      </c>
      <c r="AG94" s="2">
        <v>0.0</v>
      </c>
      <c r="AH94" s="2">
        <v>0.0</v>
      </c>
      <c r="AI94" s="2" t="s">
        <v>1011</v>
      </c>
      <c r="AJ94" s="2" t="s">
        <v>1012</v>
      </c>
      <c r="AK94" s="2">
        <v>5.51076239984851</v>
      </c>
      <c r="AL94" s="2">
        <v>12.3996619306851</v>
      </c>
      <c r="AM94" s="2" t="s">
        <v>55</v>
      </c>
      <c r="AN94" s="2">
        <v>2.228</v>
      </c>
      <c r="AO94" s="2" t="s">
        <v>31</v>
      </c>
      <c r="AP94" s="2">
        <v>0.00235849056603774</v>
      </c>
      <c r="AQ94" s="2">
        <v>0.00235849056603774</v>
      </c>
      <c r="AR94" s="2">
        <v>0.00235849056603774</v>
      </c>
      <c r="AS94" s="2" t="s">
        <v>33</v>
      </c>
    </row>
    <row r="95" ht="15.75" customHeight="1">
      <c r="A95" s="2">
        <v>9.0</v>
      </c>
      <c r="B95" s="2">
        <v>1565.871948</v>
      </c>
      <c r="C95" s="2">
        <v>131.0</v>
      </c>
      <c r="D95" s="2">
        <v>1527397.188</v>
      </c>
      <c r="E95" s="2">
        <v>5440090.83</v>
      </c>
      <c r="F95" s="2">
        <v>1565.871948</v>
      </c>
      <c r="G95" s="2" t="s">
        <v>619</v>
      </c>
      <c r="H95" s="2" t="s">
        <v>1015</v>
      </c>
      <c r="I95" s="2">
        <v>45392.0</v>
      </c>
      <c r="J95" s="2">
        <v>10.0</v>
      </c>
      <c r="K95" s="2" t="s">
        <v>31</v>
      </c>
      <c r="L95" s="2" t="s">
        <v>81</v>
      </c>
      <c r="M95" s="2">
        <v>3.0</v>
      </c>
      <c r="N95" s="2">
        <v>30.0</v>
      </c>
      <c r="O95" s="2">
        <v>0.0</v>
      </c>
      <c r="P95" s="2">
        <v>0.0</v>
      </c>
      <c r="Q95" s="2">
        <v>30.0</v>
      </c>
      <c r="R95" s="2">
        <v>40.0</v>
      </c>
      <c r="S95" s="2">
        <v>0.0</v>
      </c>
      <c r="T95" s="2">
        <v>0.0</v>
      </c>
      <c r="U95" s="2">
        <v>0.0</v>
      </c>
      <c r="V95" s="2">
        <v>0.0</v>
      </c>
      <c r="W95" s="2">
        <v>100.0</v>
      </c>
      <c r="X95" s="2">
        <v>40.0</v>
      </c>
      <c r="Y95" s="2">
        <v>0.0</v>
      </c>
      <c r="Z95" s="2">
        <v>0.0</v>
      </c>
      <c r="AA95" s="2">
        <v>60.0</v>
      </c>
      <c r="AB95" s="2">
        <v>0.0</v>
      </c>
      <c r="AC95" s="2">
        <v>0.0</v>
      </c>
      <c r="AD95" s="2">
        <v>0.0</v>
      </c>
      <c r="AE95" s="2">
        <v>131.0</v>
      </c>
      <c r="AF95" s="2">
        <v>45.0</v>
      </c>
      <c r="AG95" s="2">
        <v>40.0</v>
      </c>
      <c r="AH95" s="2">
        <v>60.0</v>
      </c>
      <c r="AI95" s="2" t="s">
        <v>1020</v>
      </c>
      <c r="AJ95" s="2" t="s">
        <v>1021</v>
      </c>
      <c r="AK95" s="2">
        <v>31.0613763731364</v>
      </c>
      <c r="AL95" s="2">
        <v>12.4031772139474</v>
      </c>
      <c r="AM95" s="2" t="s">
        <v>55</v>
      </c>
      <c r="AN95" s="2">
        <v>2.228</v>
      </c>
      <c r="AO95" s="2" t="s">
        <v>31</v>
      </c>
      <c r="AP95" s="2">
        <v>0.400471698113208</v>
      </c>
      <c r="AQ95" s="2">
        <v>0.599528301886792</v>
      </c>
      <c r="AR95" s="2">
        <v>0.300943396226415</v>
      </c>
      <c r="AS95" s="2">
        <v>3.0</v>
      </c>
    </row>
    <row r="96" ht="15.75" customHeight="1">
      <c r="A96" s="2">
        <v>9.0</v>
      </c>
      <c r="B96" s="2">
        <v>1567.891724</v>
      </c>
      <c r="C96" s="2">
        <v>132.0</v>
      </c>
      <c r="D96" s="2">
        <v>1527393.824</v>
      </c>
      <c r="E96" s="2">
        <v>5440088.732</v>
      </c>
      <c r="F96" s="2">
        <v>1567.891724</v>
      </c>
      <c r="G96" s="2" t="s">
        <v>619</v>
      </c>
      <c r="H96" s="2" t="s">
        <v>1024</v>
      </c>
      <c r="I96" s="2">
        <v>45392.0</v>
      </c>
      <c r="J96" s="2">
        <v>11.0</v>
      </c>
      <c r="K96" s="2" t="s">
        <v>31</v>
      </c>
      <c r="L96" s="2" t="s">
        <v>81</v>
      </c>
      <c r="M96" s="2">
        <v>3.0</v>
      </c>
      <c r="N96" s="2">
        <v>0.0</v>
      </c>
      <c r="O96" s="2">
        <v>0.0</v>
      </c>
      <c r="P96" s="2">
        <v>40.0</v>
      </c>
      <c r="Q96" s="2">
        <v>20.0</v>
      </c>
      <c r="R96" s="2">
        <v>40.0</v>
      </c>
      <c r="S96" s="2">
        <v>0.0</v>
      </c>
      <c r="T96" s="2">
        <v>0.0</v>
      </c>
      <c r="U96" s="2">
        <v>0.0</v>
      </c>
      <c r="V96" s="2">
        <v>0.0</v>
      </c>
      <c r="W96" s="2">
        <v>100.0</v>
      </c>
      <c r="X96" s="2">
        <v>30.0</v>
      </c>
      <c r="Y96" s="2">
        <v>0.0</v>
      </c>
      <c r="Z96" s="2">
        <v>0.0</v>
      </c>
      <c r="AA96" s="2">
        <v>70.0</v>
      </c>
      <c r="AB96" s="2">
        <v>0.0</v>
      </c>
      <c r="AC96" s="2">
        <v>0.0</v>
      </c>
      <c r="AD96" s="2">
        <v>0.0</v>
      </c>
      <c r="AE96" s="2">
        <v>132.0</v>
      </c>
      <c r="AF96" s="2">
        <v>50.0</v>
      </c>
      <c r="AG96" s="2">
        <v>40.0</v>
      </c>
      <c r="AH96" s="2">
        <v>70.0</v>
      </c>
      <c r="AI96" s="2" t="s">
        <v>1028</v>
      </c>
      <c r="AJ96" s="2" t="s">
        <v>1030</v>
      </c>
      <c r="AK96" s="2">
        <v>34.7063407491314</v>
      </c>
      <c r="AL96" s="2">
        <v>8.78660554470828</v>
      </c>
      <c r="AM96" s="2" t="s">
        <v>55</v>
      </c>
      <c r="AN96" s="2">
        <v>2.228</v>
      </c>
      <c r="AO96" s="2" t="s">
        <v>31</v>
      </c>
      <c r="AP96" s="2">
        <v>0.400471698113208</v>
      </c>
      <c r="AQ96" s="2">
        <v>0.699056603773585</v>
      </c>
      <c r="AR96" s="2">
        <v>0.00235849056603774</v>
      </c>
      <c r="AS96" s="2">
        <v>3.0</v>
      </c>
    </row>
    <row r="97" ht="15.75" customHeight="1">
      <c r="A97" s="2">
        <v>9.0</v>
      </c>
      <c r="B97" s="2">
        <v>1569.413818</v>
      </c>
      <c r="C97" s="2">
        <v>133.0</v>
      </c>
      <c r="D97" s="2">
        <v>1527382.826</v>
      </c>
      <c r="E97" s="2">
        <v>5440086.441</v>
      </c>
      <c r="F97" s="2">
        <v>1569.413818</v>
      </c>
      <c r="G97" s="2" t="s">
        <v>619</v>
      </c>
      <c r="H97" s="2" t="s">
        <v>1034</v>
      </c>
      <c r="I97" s="2">
        <v>45392.0</v>
      </c>
      <c r="J97" s="2">
        <v>12.0</v>
      </c>
      <c r="K97" s="2" t="s">
        <v>31</v>
      </c>
      <c r="L97" s="2" t="s">
        <v>81</v>
      </c>
      <c r="M97" s="2">
        <v>4.0</v>
      </c>
      <c r="N97" s="2">
        <v>80.0</v>
      </c>
      <c r="O97" s="2">
        <v>0.0</v>
      </c>
      <c r="P97" s="2">
        <v>0.0</v>
      </c>
      <c r="Q97" s="2">
        <v>0.0</v>
      </c>
      <c r="R97" s="2">
        <v>0.0</v>
      </c>
      <c r="S97" s="2">
        <v>0.0</v>
      </c>
      <c r="T97" s="2">
        <v>10.0</v>
      </c>
      <c r="U97" s="2">
        <v>10.0</v>
      </c>
      <c r="V97" s="2">
        <v>0.0</v>
      </c>
      <c r="W97" s="2">
        <v>100.0</v>
      </c>
      <c r="X97" s="2">
        <v>0.0</v>
      </c>
      <c r="Y97" s="2">
        <v>0.0</v>
      </c>
      <c r="Z97" s="2">
        <v>0.0</v>
      </c>
      <c r="AA97" s="2">
        <v>100.0</v>
      </c>
      <c r="AB97" s="2">
        <v>0.0</v>
      </c>
      <c r="AC97" s="2">
        <v>0.0</v>
      </c>
      <c r="AD97" s="2">
        <v>0.0</v>
      </c>
      <c r="AE97" s="2">
        <v>133.0</v>
      </c>
      <c r="AF97" s="2">
        <v>55.0</v>
      </c>
      <c r="AG97" s="2">
        <v>20.0</v>
      </c>
      <c r="AH97" s="2">
        <v>100.0</v>
      </c>
      <c r="AI97" s="2" t="s">
        <v>1037</v>
      </c>
      <c r="AJ97" s="2" t="s">
        <v>1038</v>
      </c>
      <c r="AK97" s="2">
        <v>45.9368708324586</v>
      </c>
      <c r="AL97" s="2">
        <v>2.44753467826835</v>
      </c>
      <c r="AM97" s="2" t="s">
        <v>55</v>
      </c>
      <c r="AN97" s="2">
        <v>2.228</v>
      </c>
      <c r="AO97" s="2" t="s">
        <v>31</v>
      </c>
      <c r="AP97" s="2">
        <v>0.201415094339623</v>
      </c>
      <c r="AQ97" s="2">
        <v>0.997641509433962</v>
      </c>
      <c r="AR97" s="2">
        <v>0.798584905660377</v>
      </c>
      <c r="AS97" s="2">
        <v>4.0</v>
      </c>
    </row>
    <row r="98" ht="15.75" customHeight="1">
      <c r="A98" s="2">
        <v>9.0</v>
      </c>
      <c r="B98" s="2">
        <v>1570.092773</v>
      </c>
      <c r="C98" s="2">
        <v>134.0</v>
      </c>
      <c r="D98" s="2">
        <v>1527376.195</v>
      </c>
      <c r="E98" s="2">
        <v>5440085.578</v>
      </c>
      <c r="F98" s="2">
        <v>1570.092773</v>
      </c>
      <c r="G98" s="2" t="s">
        <v>619</v>
      </c>
      <c r="H98" s="2" t="s">
        <v>1041</v>
      </c>
      <c r="I98" s="2">
        <v>45392.0</v>
      </c>
      <c r="J98" s="2">
        <v>13.0</v>
      </c>
      <c r="K98" s="2" t="s">
        <v>31</v>
      </c>
      <c r="L98" s="2" t="s">
        <v>81</v>
      </c>
      <c r="M98" s="2">
        <v>4.0</v>
      </c>
      <c r="N98" s="2">
        <v>40.0</v>
      </c>
      <c r="O98" s="2">
        <v>30.0</v>
      </c>
      <c r="P98" s="2">
        <v>0.0</v>
      </c>
      <c r="Q98" s="2">
        <v>0.0</v>
      </c>
      <c r="R98" s="2">
        <v>0.0</v>
      </c>
      <c r="S98" s="2">
        <v>0.0</v>
      </c>
      <c r="T98" s="2">
        <v>10.0</v>
      </c>
      <c r="U98" s="2">
        <v>20.0</v>
      </c>
      <c r="V98" s="2">
        <v>0.0</v>
      </c>
      <c r="W98" s="2">
        <v>100.0</v>
      </c>
      <c r="X98" s="2">
        <v>0.0</v>
      </c>
      <c r="Y98" s="2">
        <v>0.0</v>
      </c>
      <c r="Z98" s="2">
        <v>0.0</v>
      </c>
      <c r="AA98" s="2">
        <v>0.0</v>
      </c>
      <c r="AB98" s="2">
        <v>100.0</v>
      </c>
      <c r="AC98" s="2">
        <v>0.0</v>
      </c>
      <c r="AD98" s="2">
        <v>0.0</v>
      </c>
      <c r="AE98" s="2">
        <v>134.0</v>
      </c>
      <c r="AF98" s="2">
        <v>60.0</v>
      </c>
      <c r="AG98" s="2">
        <v>30.0</v>
      </c>
      <c r="AH98" s="2">
        <v>100.0</v>
      </c>
      <c r="AI98" s="2" t="s">
        <v>1046</v>
      </c>
      <c r="AJ98" s="2" t="s">
        <v>1047</v>
      </c>
      <c r="AK98" s="2">
        <v>52.6152569109129</v>
      </c>
      <c r="AL98" s="2">
        <v>5.27382299727029</v>
      </c>
      <c r="AM98" s="2" t="s">
        <v>55</v>
      </c>
      <c r="AN98" s="2">
        <v>2.228</v>
      </c>
      <c r="AO98" s="2" t="s">
        <v>31</v>
      </c>
      <c r="AP98" s="2">
        <v>0.300943396226415</v>
      </c>
      <c r="AQ98" s="2">
        <v>0.997641509433962</v>
      </c>
      <c r="AR98" s="2">
        <v>0.400471698113208</v>
      </c>
      <c r="AS98" s="2">
        <v>4.0</v>
      </c>
    </row>
    <row r="99" ht="15.75" customHeight="1">
      <c r="A99" s="2">
        <v>9.0</v>
      </c>
      <c r="B99" s="2">
        <v>1570.238892</v>
      </c>
      <c r="C99" s="2">
        <v>135.0</v>
      </c>
      <c r="D99" s="2">
        <v>1527363.37</v>
      </c>
      <c r="E99" s="2">
        <v>5440088.402</v>
      </c>
      <c r="F99" s="2">
        <v>1570.238892</v>
      </c>
      <c r="G99" s="2" t="s">
        <v>619</v>
      </c>
      <c r="H99" s="2" t="s">
        <v>1050</v>
      </c>
      <c r="I99" s="2">
        <v>45392.0</v>
      </c>
      <c r="J99" s="2">
        <v>14.0</v>
      </c>
      <c r="K99" s="2" t="s">
        <v>31</v>
      </c>
      <c r="L99" s="2" t="s">
        <v>81</v>
      </c>
      <c r="M99" s="2">
        <v>4.0</v>
      </c>
      <c r="N99" s="2">
        <v>100.0</v>
      </c>
      <c r="O99" s="2">
        <v>0.0</v>
      </c>
      <c r="P99" s="2">
        <v>0.0</v>
      </c>
      <c r="Q99" s="2">
        <v>0.0</v>
      </c>
      <c r="R99" s="2">
        <v>0.0</v>
      </c>
      <c r="S99" s="2">
        <v>0.0</v>
      </c>
      <c r="T99" s="2">
        <v>0.0</v>
      </c>
      <c r="U99" s="2">
        <v>0.0</v>
      </c>
      <c r="V99" s="2">
        <v>0.0</v>
      </c>
      <c r="W99" s="2">
        <v>100.0</v>
      </c>
      <c r="X99" s="2">
        <v>0.0</v>
      </c>
      <c r="Y99" s="2">
        <v>0.0</v>
      </c>
      <c r="Z99" s="2">
        <v>0.0</v>
      </c>
      <c r="AA99" s="2">
        <v>0.0</v>
      </c>
      <c r="AB99" s="2">
        <v>0.0</v>
      </c>
      <c r="AC99" s="2">
        <v>100.0</v>
      </c>
      <c r="AD99" s="2">
        <v>0.0</v>
      </c>
      <c r="AE99" s="2">
        <v>135.0</v>
      </c>
      <c r="AF99" s="2">
        <v>65.0</v>
      </c>
      <c r="AG99" s="2">
        <v>0.0</v>
      </c>
      <c r="AH99" s="2">
        <v>100.0</v>
      </c>
      <c r="AI99" s="2" t="s">
        <v>1053</v>
      </c>
      <c r="AJ99" s="2" t="s">
        <v>1055</v>
      </c>
      <c r="AK99" s="2">
        <v>64.9398629792734</v>
      </c>
      <c r="AL99" s="2">
        <v>1.50418250241633</v>
      </c>
      <c r="AM99" s="2" t="s">
        <v>55</v>
      </c>
      <c r="AN99" s="2">
        <v>2.228</v>
      </c>
      <c r="AO99" s="2" t="s">
        <v>31</v>
      </c>
      <c r="AP99" s="2">
        <v>0.00235849056603774</v>
      </c>
      <c r="AQ99" s="2">
        <v>0.997641509433962</v>
      </c>
      <c r="AR99" s="2">
        <v>0.997641509433962</v>
      </c>
      <c r="AS99" s="2">
        <v>4.0</v>
      </c>
    </row>
    <row r="100" ht="15.75" customHeight="1">
      <c r="A100" s="2">
        <v>9.0</v>
      </c>
      <c r="B100" s="2">
        <v>1570.437622</v>
      </c>
      <c r="C100" s="2">
        <v>136.0</v>
      </c>
      <c r="D100" s="2">
        <v>1527357.066</v>
      </c>
      <c r="E100" s="2">
        <v>5440085.094</v>
      </c>
      <c r="F100" s="2">
        <v>1570.437622</v>
      </c>
      <c r="G100" s="2" t="s">
        <v>619</v>
      </c>
      <c r="H100" s="2" t="s">
        <v>1057</v>
      </c>
      <c r="I100" s="2">
        <v>45392.0</v>
      </c>
      <c r="J100" s="2">
        <v>15.0</v>
      </c>
      <c r="K100" s="2" t="s">
        <v>31</v>
      </c>
      <c r="L100" s="2" t="s">
        <v>81</v>
      </c>
      <c r="M100" s="2">
        <v>4.0</v>
      </c>
      <c r="N100" s="2">
        <v>70.0</v>
      </c>
      <c r="O100" s="2">
        <v>0.0</v>
      </c>
      <c r="P100" s="2">
        <v>0.0</v>
      </c>
      <c r="Q100" s="2">
        <v>0.0</v>
      </c>
      <c r="R100" s="2">
        <v>0.0</v>
      </c>
      <c r="S100" s="2">
        <v>0.0</v>
      </c>
      <c r="T100" s="2">
        <v>0.0</v>
      </c>
      <c r="U100" s="2">
        <v>30.0</v>
      </c>
      <c r="V100" s="2">
        <v>0.0</v>
      </c>
      <c r="W100" s="2">
        <v>100.0</v>
      </c>
      <c r="X100" s="2">
        <v>30.0</v>
      </c>
      <c r="Y100" s="2">
        <v>0.0</v>
      </c>
      <c r="Z100" s="2">
        <v>0.0</v>
      </c>
      <c r="AA100" s="2">
        <v>70.0</v>
      </c>
      <c r="AB100" s="2">
        <v>0.0</v>
      </c>
      <c r="AC100" s="2">
        <v>0.0</v>
      </c>
      <c r="AD100" s="2">
        <v>0.0</v>
      </c>
      <c r="AE100" s="2">
        <v>136.0</v>
      </c>
      <c r="AF100" s="2">
        <v>70.0</v>
      </c>
      <c r="AG100" s="2">
        <v>30.0</v>
      </c>
      <c r="AH100" s="2">
        <v>70.0</v>
      </c>
      <c r="AI100" s="2" t="s">
        <v>1060</v>
      </c>
      <c r="AJ100" s="2" t="s">
        <v>1061</v>
      </c>
      <c r="AK100" s="2">
        <v>71.5898186946061</v>
      </c>
      <c r="AL100" s="2">
        <v>8.24551835861089</v>
      </c>
      <c r="AM100" s="2" t="s">
        <v>55</v>
      </c>
      <c r="AN100" s="2">
        <v>2.228</v>
      </c>
      <c r="AO100" s="2" t="s">
        <v>31</v>
      </c>
      <c r="AP100" s="2">
        <v>0.300943396226415</v>
      </c>
      <c r="AQ100" s="2">
        <v>0.699056603773585</v>
      </c>
      <c r="AR100" s="2">
        <v>0.699056603773585</v>
      </c>
      <c r="AS100" s="2">
        <v>4.0</v>
      </c>
    </row>
    <row r="101" ht="15.75" customHeight="1">
      <c r="A101" s="2">
        <v>9.0</v>
      </c>
      <c r="B101" s="2">
        <v>1570.860962</v>
      </c>
      <c r="C101" s="2">
        <v>137.0</v>
      </c>
      <c r="D101" s="2">
        <v>1527344.965</v>
      </c>
      <c r="E101" s="2">
        <v>5440079.587</v>
      </c>
      <c r="F101" s="2">
        <v>1570.860962</v>
      </c>
      <c r="G101" s="2" t="s">
        <v>619</v>
      </c>
      <c r="H101" s="2" t="s">
        <v>1067</v>
      </c>
      <c r="I101" s="2">
        <v>45392.0</v>
      </c>
      <c r="J101" s="2">
        <v>16.0</v>
      </c>
      <c r="K101" s="2" t="s">
        <v>31</v>
      </c>
      <c r="L101" s="2" t="s">
        <v>81</v>
      </c>
      <c r="M101" s="2">
        <v>2.0</v>
      </c>
      <c r="N101" s="2">
        <v>30.0</v>
      </c>
      <c r="O101" s="2">
        <v>0.0</v>
      </c>
      <c r="P101" s="2">
        <v>0.0</v>
      </c>
      <c r="Q101" s="2">
        <v>0.0</v>
      </c>
      <c r="R101" s="2">
        <v>0.0</v>
      </c>
      <c r="S101" s="2">
        <v>0.0</v>
      </c>
      <c r="T101" s="2">
        <v>10.0</v>
      </c>
      <c r="U101" s="2">
        <v>60.0</v>
      </c>
      <c r="V101" s="2">
        <v>0.0</v>
      </c>
      <c r="W101" s="2">
        <v>100.0</v>
      </c>
      <c r="X101" s="2">
        <v>70.0</v>
      </c>
      <c r="Y101" s="2">
        <v>0.0</v>
      </c>
      <c r="Z101" s="2">
        <v>0.0</v>
      </c>
      <c r="AA101" s="2">
        <v>30.0</v>
      </c>
      <c r="AB101" s="2">
        <v>0.0</v>
      </c>
      <c r="AC101" s="2">
        <v>0.0</v>
      </c>
      <c r="AD101" s="2">
        <v>0.0</v>
      </c>
      <c r="AE101" s="2">
        <v>137.0</v>
      </c>
      <c r="AF101" s="2">
        <v>75.0</v>
      </c>
      <c r="AG101" s="2">
        <v>70.0</v>
      </c>
      <c r="AH101" s="2">
        <v>30.0</v>
      </c>
      <c r="AI101" s="2" t="s">
        <v>1069</v>
      </c>
      <c r="AJ101" s="2" t="s">
        <v>1071</v>
      </c>
      <c r="AK101" s="2">
        <v>84.4130575642897</v>
      </c>
      <c r="AL101" s="2">
        <v>21.452346374924</v>
      </c>
      <c r="AM101" s="2" t="s">
        <v>55</v>
      </c>
      <c r="AN101" s="2">
        <v>2.228</v>
      </c>
      <c r="AO101" s="2" t="s">
        <v>31</v>
      </c>
      <c r="AP101" s="2">
        <v>0.699056603773585</v>
      </c>
      <c r="AQ101" s="2">
        <v>0.300943396226415</v>
      </c>
      <c r="AR101" s="2">
        <v>0.300943396226415</v>
      </c>
      <c r="AS101" s="2">
        <v>2.0</v>
      </c>
    </row>
    <row r="102" ht="15.75" customHeight="1">
      <c r="A102" s="2">
        <v>9.0</v>
      </c>
      <c r="B102" s="2">
        <v>1571.362549</v>
      </c>
      <c r="C102" s="2">
        <v>138.0</v>
      </c>
      <c r="D102" s="2">
        <v>1527335.574</v>
      </c>
      <c r="E102" s="2">
        <v>5440081.066</v>
      </c>
      <c r="F102" s="2">
        <v>1571.362549</v>
      </c>
      <c r="G102" s="2" t="s">
        <v>619</v>
      </c>
      <c r="H102" s="2" t="s">
        <v>1075</v>
      </c>
      <c r="I102" s="2">
        <v>45392.0</v>
      </c>
      <c r="J102" s="2">
        <v>17.0</v>
      </c>
      <c r="K102" s="2" t="s">
        <v>31</v>
      </c>
      <c r="L102" s="2" t="s">
        <v>81</v>
      </c>
      <c r="M102" s="2">
        <v>2.0</v>
      </c>
      <c r="N102" s="2">
        <v>20.0</v>
      </c>
      <c r="O102" s="2">
        <v>0.0</v>
      </c>
      <c r="P102" s="2">
        <v>0.0</v>
      </c>
      <c r="Q102" s="2">
        <v>0.0</v>
      </c>
      <c r="R102" s="2">
        <v>0.0</v>
      </c>
      <c r="S102" s="2">
        <v>0.0</v>
      </c>
      <c r="T102" s="2">
        <v>10.0</v>
      </c>
      <c r="U102" s="2">
        <v>70.0</v>
      </c>
      <c r="V102" s="2">
        <v>0.0</v>
      </c>
      <c r="W102" s="2">
        <v>100.0</v>
      </c>
      <c r="X102" s="2">
        <v>85.0</v>
      </c>
      <c r="Y102" s="2">
        <v>0.0</v>
      </c>
      <c r="Z102" s="2">
        <v>0.0</v>
      </c>
      <c r="AA102" s="2">
        <v>15.0</v>
      </c>
      <c r="AB102" s="2">
        <v>0.0</v>
      </c>
      <c r="AC102" s="2">
        <v>0.0</v>
      </c>
      <c r="AD102" s="2">
        <v>0.0</v>
      </c>
      <c r="AE102" s="2">
        <v>138.0</v>
      </c>
      <c r="AF102" s="2">
        <v>80.0</v>
      </c>
      <c r="AG102" s="2">
        <v>80.0</v>
      </c>
      <c r="AH102" s="2">
        <v>15.0</v>
      </c>
      <c r="AI102" s="2" t="s">
        <v>1080</v>
      </c>
      <c r="AJ102" s="2" t="s">
        <v>1081</v>
      </c>
      <c r="AK102" s="2">
        <v>93.4359622818691</v>
      </c>
      <c r="AL102" s="2">
        <v>29.5661864467345</v>
      </c>
      <c r="AM102" s="2" t="s">
        <v>55</v>
      </c>
      <c r="AN102" s="2">
        <v>2.228</v>
      </c>
      <c r="AO102" s="2" t="s">
        <v>31</v>
      </c>
      <c r="AP102" s="2">
        <v>0.798584905660377</v>
      </c>
      <c r="AQ102" s="2">
        <v>0.151650943396226</v>
      </c>
      <c r="AR102" s="2">
        <v>0.201415094339623</v>
      </c>
      <c r="AS102" s="2">
        <v>2.0</v>
      </c>
    </row>
    <row r="103" ht="15.75" customHeight="1">
      <c r="A103" s="2">
        <v>9.0</v>
      </c>
      <c r="B103" s="2">
        <v>1572.474487</v>
      </c>
      <c r="C103" s="2">
        <v>139.0</v>
      </c>
      <c r="D103" s="2">
        <v>1527321.446</v>
      </c>
      <c r="E103" s="2">
        <v>5440071.901</v>
      </c>
      <c r="F103" s="2">
        <v>1572.474487</v>
      </c>
      <c r="G103" s="2" t="s">
        <v>619</v>
      </c>
      <c r="H103" s="2" t="s">
        <v>1086</v>
      </c>
      <c r="I103" s="2">
        <v>45392.0</v>
      </c>
      <c r="J103" s="2">
        <v>18.0</v>
      </c>
      <c r="K103" s="2" t="s">
        <v>31</v>
      </c>
      <c r="L103" s="2" t="s">
        <v>81</v>
      </c>
      <c r="M103" s="2">
        <v>1.0</v>
      </c>
      <c r="N103" s="2">
        <v>0.0</v>
      </c>
      <c r="O103" s="2">
        <v>0.0</v>
      </c>
      <c r="P103" s="2">
        <v>0.0</v>
      </c>
      <c r="Q103" s="2">
        <v>0.0</v>
      </c>
      <c r="R103" s="2">
        <v>0.0</v>
      </c>
      <c r="S103" s="2">
        <v>80.0</v>
      </c>
      <c r="T103" s="2">
        <v>0.0</v>
      </c>
      <c r="U103" s="2">
        <v>20.0</v>
      </c>
      <c r="V103" s="2">
        <v>0.0</v>
      </c>
      <c r="W103" s="2">
        <v>100.0</v>
      </c>
      <c r="X103" s="2">
        <v>100.0</v>
      </c>
      <c r="Y103" s="2">
        <v>0.0</v>
      </c>
      <c r="Z103" s="2">
        <v>0.0</v>
      </c>
      <c r="AA103" s="2">
        <v>0.0</v>
      </c>
      <c r="AB103" s="2">
        <v>0.0</v>
      </c>
      <c r="AC103" s="2">
        <v>0.0</v>
      </c>
      <c r="AD103" s="2">
        <v>0.0</v>
      </c>
      <c r="AE103" s="2">
        <v>139.0</v>
      </c>
      <c r="AF103" s="2">
        <v>85.0</v>
      </c>
      <c r="AG103" s="2">
        <v>100.0</v>
      </c>
      <c r="AH103" s="2">
        <v>0.0</v>
      </c>
      <c r="AI103" s="2" t="s">
        <v>1089</v>
      </c>
      <c r="AJ103" s="2" t="s">
        <v>1091</v>
      </c>
      <c r="AK103" s="2">
        <v>108.983491044903</v>
      </c>
      <c r="AL103" s="2">
        <v>46.0041589860276</v>
      </c>
      <c r="AM103" s="2" t="s">
        <v>55</v>
      </c>
      <c r="AN103" s="2">
        <v>2.228</v>
      </c>
      <c r="AO103" s="2" t="s">
        <v>31</v>
      </c>
      <c r="AP103" s="2">
        <v>0.997641509433962</v>
      </c>
      <c r="AQ103" s="2">
        <v>0.00235849056603774</v>
      </c>
      <c r="AR103" s="2">
        <v>0.00235849056603774</v>
      </c>
      <c r="AS103" s="2">
        <v>1.0</v>
      </c>
    </row>
    <row r="104" ht="15.75" customHeight="1">
      <c r="A104" s="2">
        <v>9.0</v>
      </c>
      <c r="B104" s="2">
        <v>1574.287109</v>
      </c>
      <c r="C104" s="2">
        <v>140.0</v>
      </c>
      <c r="D104" s="2">
        <v>1527317.288</v>
      </c>
      <c r="E104" s="2">
        <v>5440059.366</v>
      </c>
      <c r="F104" s="2">
        <v>1574.287109</v>
      </c>
      <c r="G104" s="2" t="s">
        <v>619</v>
      </c>
      <c r="H104" s="2" t="s">
        <v>1095</v>
      </c>
      <c r="I104" s="2">
        <v>45392.0</v>
      </c>
      <c r="J104" s="2">
        <v>19.0</v>
      </c>
      <c r="K104" s="2" t="s">
        <v>31</v>
      </c>
      <c r="L104" s="2" t="s">
        <v>81</v>
      </c>
      <c r="M104" s="2">
        <v>1.0</v>
      </c>
      <c r="N104" s="2">
        <v>0.0</v>
      </c>
      <c r="O104" s="2">
        <v>0.0</v>
      </c>
      <c r="P104" s="2">
        <v>0.0</v>
      </c>
      <c r="Q104" s="2">
        <v>0.0</v>
      </c>
      <c r="R104" s="2">
        <v>0.0</v>
      </c>
      <c r="S104" s="2">
        <v>0.0</v>
      </c>
      <c r="T104" s="2">
        <v>60.0</v>
      </c>
      <c r="U104" s="2">
        <v>40.0</v>
      </c>
      <c r="V104" s="2">
        <v>0.0</v>
      </c>
      <c r="W104" s="2">
        <v>100.0</v>
      </c>
      <c r="X104" s="2">
        <v>100.0</v>
      </c>
      <c r="Y104" s="2">
        <v>0.0</v>
      </c>
      <c r="Z104" s="2">
        <v>0.0</v>
      </c>
      <c r="AA104" s="2">
        <v>0.0</v>
      </c>
      <c r="AB104" s="2">
        <v>0.0</v>
      </c>
      <c r="AC104" s="2">
        <v>0.0</v>
      </c>
      <c r="AD104" s="2">
        <v>0.0</v>
      </c>
      <c r="AE104" s="2">
        <v>140.0</v>
      </c>
      <c r="AF104" s="2">
        <v>90.0</v>
      </c>
      <c r="AG104" s="2">
        <v>100.0</v>
      </c>
      <c r="AH104" s="2">
        <v>0.0</v>
      </c>
      <c r="AI104" s="2" t="s">
        <v>1101</v>
      </c>
      <c r="AJ104" s="2" t="s">
        <v>1102</v>
      </c>
      <c r="AK104" s="2">
        <v>102.090507031619</v>
      </c>
      <c r="AL104" s="2">
        <v>53.2364261103154</v>
      </c>
      <c r="AM104" s="2" t="s">
        <v>55</v>
      </c>
      <c r="AN104" s="2">
        <v>2.228</v>
      </c>
      <c r="AO104" s="2" t="s">
        <v>31</v>
      </c>
      <c r="AP104" s="2">
        <v>0.997641509433962</v>
      </c>
      <c r="AQ104" s="2">
        <v>0.00235849056603774</v>
      </c>
      <c r="AR104" s="2">
        <v>0.00235849056603774</v>
      </c>
      <c r="AS104" s="2">
        <v>1.0</v>
      </c>
    </row>
    <row r="105" ht="15.75" customHeight="1">
      <c r="A105" s="2">
        <v>9.0</v>
      </c>
      <c r="B105" s="2">
        <v>1577.100586</v>
      </c>
      <c r="C105" s="2">
        <v>141.0</v>
      </c>
      <c r="D105" s="2">
        <v>1527315.742</v>
      </c>
      <c r="E105" s="2">
        <v>5440049.821</v>
      </c>
      <c r="F105" s="2">
        <v>1577.100586</v>
      </c>
      <c r="G105" s="2" t="s">
        <v>619</v>
      </c>
      <c r="H105" s="2" t="s">
        <v>1105</v>
      </c>
      <c r="I105" s="2">
        <v>45392.0</v>
      </c>
      <c r="J105" s="2">
        <v>20.0</v>
      </c>
      <c r="K105" s="2" t="s">
        <v>31</v>
      </c>
      <c r="L105" s="2" t="s">
        <v>81</v>
      </c>
      <c r="M105" s="2">
        <v>1.0</v>
      </c>
      <c r="N105" s="2">
        <v>0.0</v>
      </c>
      <c r="O105" s="2">
        <v>0.0</v>
      </c>
      <c r="P105" s="2">
        <v>0.0</v>
      </c>
      <c r="Q105" s="2">
        <v>0.0</v>
      </c>
      <c r="R105" s="2">
        <v>0.0</v>
      </c>
      <c r="S105" s="2">
        <v>0.0</v>
      </c>
      <c r="T105" s="2">
        <v>70.0</v>
      </c>
      <c r="U105" s="2">
        <v>30.0</v>
      </c>
      <c r="V105" s="2">
        <v>0.0</v>
      </c>
      <c r="W105" s="2">
        <v>100.0</v>
      </c>
      <c r="X105" s="2">
        <v>100.0</v>
      </c>
      <c r="Y105" s="2">
        <v>0.0</v>
      </c>
      <c r="Z105" s="2">
        <v>0.0</v>
      </c>
      <c r="AA105" s="2">
        <v>0.0</v>
      </c>
      <c r="AB105" s="2">
        <v>0.0</v>
      </c>
      <c r="AC105" s="2">
        <v>0.0</v>
      </c>
      <c r="AD105" s="2">
        <v>0.0</v>
      </c>
      <c r="AE105" s="2">
        <v>141.0</v>
      </c>
      <c r="AF105" s="2">
        <v>95.0</v>
      </c>
      <c r="AG105" s="2">
        <v>100.0</v>
      </c>
      <c r="AH105" s="2">
        <v>0.0</v>
      </c>
      <c r="AI105" s="2" t="s">
        <v>1108</v>
      </c>
      <c r="AJ105" s="2" t="s">
        <v>1109</v>
      </c>
      <c r="AK105" s="2">
        <v>96.0037687323447</v>
      </c>
      <c r="AL105" s="2">
        <v>58.5375955944461</v>
      </c>
      <c r="AM105" s="2" t="s">
        <v>55</v>
      </c>
      <c r="AN105" s="2">
        <v>2.228</v>
      </c>
      <c r="AO105" s="2" t="s">
        <v>31</v>
      </c>
      <c r="AP105" s="2">
        <v>0.997641509433962</v>
      </c>
      <c r="AQ105" s="2">
        <v>0.00235849056603774</v>
      </c>
      <c r="AR105" s="2">
        <v>0.00235849056603774</v>
      </c>
      <c r="AS105" s="2">
        <v>1.0</v>
      </c>
    </row>
    <row r="106" ht="15.75" customHeight="1">
      <c r="A106" s="2">
        <v>9.0</v>
      </c>
      <c r="B106" s="2">
        <v>1579.758667</v>
      </c>
      <c r="C106" s="2">
        <v>142.0</v>
      </c>
      <c r="D106" s="2">
        <v>1527316.457</v>
      </c>
      <c r="E106" s="2">
        <v>5440038.935</v>
      </c>
      <c r="F106" s="2">
        <v>1579.758667</v>
      </c>
      <c r="G106" s="2" t="s">
        <v>619</v>
      </c>
      <c r="H106" s="2" t="s">
        <v>1115</v>
      </c>
      <c r="I106" s="2">
        <v>45392.0</v>
      </c>
      <c r="J106" s="2">
        <v>21.0</v>
      </c>
      <c r="K106" s="2" t="s">
        <v>31</v>
      </c>
      <c r="L106" s="2" t="s">
        <v>81</v>
      </c>
      <c r="M106" s="2">
        <v>1.0</v>
      </c>
      <c r="N106" s="2">
        <v>0.0</v>
      </c>
      <c r="O106" s="2">
        <v>0.0</v>
      </c>
      <c r="P106" s="2">
        <v>0.0</v>
      </c>
      <c r="Q106" s="2">
        <v>0.0</v>
      </c>
      <c r="R106" s="2">
        <v>60.0</v>
      </c>
      <c r="S106" s="2">
        <v>40.0</v>
      </c>
      <c r="T106" s="2">
        <v>0.0</v>
      </c>
      <c r="U106" s="2">
        <v>0.0</v>
      </c>
      <c r="V106" s="2">
        <v>0.0</v>
      </c>
      <c r="W106" s="2">
        <v>100.0</v>
      </c>
      <c r="X106" s="2">
        <v>100.0</v>
      </c>
      <c r="Y106" s="2">
        <v>0.0</v>
      </c>
      <c r="Z106" s="2">
        <v>0.0</v>
      </c>
      <c r="AA106" s="2">
        <v>0.0</v>
      </c>
      <c r="AB106" s="2">
        <v>0.0</v>
      </c>
      <c r="AC106" s="2">
        <v>0.0</v>
      </c>
      <c r="AD106" s="2">
        <v>0.0</v>
      </c>
      <c r="AE106" s="2">
        <v>142.0</v>
      </c>
      <c r="AF106" s="2">
        <v>100.0</v>
      </c>
      <c r="AG106" s="2">
        <v>100.0</v>
      </c>
      <c r="AH106" s="2">
        <v>0.0</v>
      </c>
      <c r="AI106" s="2" t="s">
        <v>1121</v>
      </c>
      <c r="AJ106" s="2" t="s">
        <v>1122</v>
      </c>
      <c r="AK106" s="2">
        <v>87.1036155552671</v>
      </c>
      <c r="AL106" s="2">
        <v>63.8133588291531</v>
      </c>
      <c r="AM106" s="2" t="s">
        <v>55</v>
      </c>
      <c r="AN106" s="2">
        <v>2.228</v>
      </c>
      <c r="AO106" s="2" t="s">
        <v>31</v>
      </c>
      <c r="AP106" s="2">
        <v>0.997641509433962</v>
      </c>
      <c r="AQ106" s="2">
        <v>0.00235849056603774</v>
      </c>
      <c r="AR106" s="2">
        <v>0.00235849056603774</v>
      </c>
      <c r="AS106" s="2">
        <v>1.0</v>
      </c>
    </row>
    <row r="107" ht="15.75" customHeight="1">
      <c r="A107" s="2">
        <v>14.0</v>
      </c>
      <c r="B107" s="2">
        <v>1580.051025</v>
      </c>
      <c r="C107" s="2">
        <v>155.0</v>
      </c>
      <c r="D107" s="2">
        <v>1523928.485</v>
      </c>
      <c r="E107" s="2">
        <v>5441012.71</v>
      </c>
      <c r="F107" s="2">
        <v>1580.051025</v>
      </c>
      <c r="G107" s="2" t="s">
        <v>1125</v>
      </c>
      <c r="H107" s="2" t="s">
        <v>1126</v>
      </c>
      <c r="I107" s="2">
        <v>45392.0</v>
      </c>
      <c r="J107" s="2">
        <v>1.0</v>
      </c>
      <c r="K107" s="2" t="s">
        <v>31</v>
      </c>
      <c r="L107" s="2" t="s">
        <v>135</v>
      </c>
      <c r="M107" s="2">
        <v>4.0</v>
      </c>
      <c r="N107" s="2">
        <v>100.0</v>
      </c>
      <c r="O107" s="2">
        <v>0.0</v>
      </c>
      <c r="P107" s="2">
        <v>0.0</v>
      </c>
      <c r="Q107" s="2">
        <v>0.0</v>
      </c>
      <c r="R107" s="2">
        <v>0.0</v>
      </c>
      <c r="S107" s="2">
        <v>0.0</v>
      </c>
      <c r="T107" s="2">
        <v>0.0</v>
      </c>
      <c r="U107" s="2">
        <v>0.0</v>
      </c>
      <c r="V107" s="2">
        <v>0.0</v>
      </c>
      <c r="W107" s="2">
        <v>100.0</v>
      </c>
      <c r="X107" s="2">
        <v>0.0</v>
      </c>
      <c r="Y107" s="2">
        <v>0.0</v>
      </c>
      <c r="Z107" s="2">
        <v>0.0</v>
      </c>
      <c r="AA107" s="2">
        <v>50.0</v>
      </c>
      <c r="AB107" s="2">
        <v>0.0</v>
      </c>
      <c r="AC107" s="2">
        <v>50.0</v>
      </c>
      <c r="AD107" s="2">
        <v>0.0</v>
      </c>
      <c r="AE107" s="2">
        <v>155.0</v>
      </c>
      <c r="AF107" s="2">
        <v>0.0</v>
      </c>
      <c r="AG107" s="2">
        <v>0.0</v>
      </c>
      <c r="AH107" s="2">
        <v>100.0</v>
      </c>
      <c r="AI107" s="2" t="s">
        <v>1132</v>
      </c>
      <c r="AJ107" s="2" t="s">
        <v>1133</v>
      </c>
      <c r="AK107" s="2">
        <v>29.721598972371</v>
      </c>
      <c r="AL107" s="2">
        <v>2.24606166433918</v>
      </c>
      <c r="AM107" s="2" t="s">
        <v>55</v>
      </c>
      <c r="AN107" s="2">
        <v>2.409</v>
      </c>
      <c r="AO107" s="2" t="s">
        <v>31</v>
      </c>
      <c r="AP107" s="2">
        <v>0.00235849056603774</v>
      </c>
      <c r="AQ107" s="2">
        <v>0.997641509433962</v>
      </c>
      <c r="AR107" s="2">
        <v>0.997641509433962</v>
      </c>
      <c r="AS107" s="2">
        <v>4.0</v>
      </c>
    </row>
    <row r="108" ht="15.75" customHeight="1">
      <c r="A108" s="2">
        <v>14.0</v>
      </c>
      <c r="B108" s="2">
        <v>1579.619019</v>
      </c>
      <c r="C108" s="2">
        <v>156.0</v>
      </c>
      <c r="D108" s="2">
        <v>1523930.176</v>
      </c>
      <c r="E108" s="2">
        <v>5441016.369</v>
      </c>
      <c r="F108" s="2">
        <v>1579.619019</v>
      </c>
      <c r="G108" s="2" t="s">
        <v>1125</v>
      </c>
      <c r="H108" s="2" t="s">
        <v>1138</v>
      </c>
      <c r="I108" s="2">
        <v>45392.0</v>
      </c>
      <c r="J108" s="2">
        <v>2.0</v>
      </c>
      <c r="K108" s="2" t="s">
        <v>31</v>
      </c>
      <c r="L108" s="2" t="s">
        <v>135</v>
      </c>
      <c r="M108" s="2">
        <v>4.0</v>
      </c>
      <c r="N108" s="2">
        <v>100.0</v>
      </c>
      <c r="O108" s="2">
        <v>0.0</v>
      </c>
      <c r="P108" s="2">
        <v>0.0</v>
      </c>
      <c r="Q108" s="2">
        <v>0.0</v>
      </c>
      <c r="R108" s="2">
        <v>0.0</v>
      </c>
      <c r="S108" s="2">
        <v>0.0</v>
      </c>
      <c r="T108" s="2">
        <v>0.0</v>
      </c>
      <c r="U108" s="2">
        <v>0.0</v>
      </c>
      <c r="V108" s="2">
        <v>0.0</v>
      </c>
      <c r="W108" s="2">
        <v>100.0</v>
      </c>
      <c r="X108" s="2">
        <v>0.0</v>
      </c>
      <c r="Y108" s="2">
        <v>0.0</v>
      </c>
      <c r="Z108" s="2">
        <v>0.0</v>
      </c>
      <c r="AA108" s="2">
        <v>0.0</v>
      </c>
      <c r="AB108" s="2">
        <v>0.0</v>
      </c>
      <c r="AC108" s="2">
        <v>100.0</v>
      </c>
      <c r="AD108" s="2">
        <v>0.0</v>
      </c>
      <c r="AE108" s="2">
        <v>156.0</v>
      </c>
      <c r="AF108" s="2">
        <v>5.0</v>
      </c>
      <c r="AG108" s="2">
        <v>0.0</v>
      </c>
      <c r="AH108" s="2">
        <v>100.0</v>
      </c>
      <c r="AI108" s="2" t="s">
        <v>1142</v>
      </c>
      <c r="AJ108" s="2" t="s">
        <v>1143</v>
      </c>
      <c r="AK108" s="2">
        <v>33.7488050027808</v>
      </c>
      <c r="AL108" s="2">
        <v>3.40939657381289</v>
      </c>
      <c r="AM108" s="2" t="s">
        <v>55</v>
      </c>
      <c r="AN108" s="2">
        <v>2.409</v>
      </c>
      <c r="AO108" s="2" t="s">
        <v>31</v>
      </c>
      <c r="AP108" s="2">
        <v>0.00235849056603774</v>
      </c>
      <c r="AQ108" s="2">
        <v>0.997641509433962</v>
      </c>
      <c r="AR108" s="2">
        <v>0.997641509433962</v>
      </c>
      <c r="AS108" s="2">
        <v>4.0</v>
      </c>
    </row>
    <row r="109" ht="15.75" customHeight="1">
      <c r="A109" s="2">
        <v>14.0</v>
      </c>
      <c r="B109" s="2">
        <v>1581.034058</v>
      </c>
      <c r="C109" s="2">
        <v>157.0</v>
      </c>
      <c r="D109" s="2">
        <v>1523929.592</v>
      </c>
      <c r="E109" s="2">
        <v>5441017.593</v>
      </c>
      <c r="F109" s="2">
        <v>1581.034058</v>
      </c>
      <c r="G109" s="2" t="s">
        <v>1125</v>
      </c>
      <c r="H109" s="2" t="s">
        <v>1146</v>
      </c>
      <c r="I109" s="2">
        <v>45392.0</v>
      </c>
      <c r="J109" s="2">
        <v>3.0</v>
      </c>
      <c r="K109" s="2" t="s">
        <v>31</v>
      </c>
      <c r="L109" s="2" t="s">
        <v>135</v>
      </c>
      <c r="M109" s="2">
        <v>4.0</v>
      </c>
      <c r="N109" s="2">
        <v>100.0</v>
      </c>
      <c r="O109" s="2">
        <v>0.0</v>
      </c>
      <c r="P109" s="2">
        <v>0.0</v>
      </c>
      <c r="Q109" s="2">
        <v>0.0</v>
      </c>
      <c r="R109" s="2">
        <v>0.0</v>
      </c>
      <c r="S109" s="2">
        <v>0.0</v>
      </c>
      <c r="T109" s="2">
        <v>0.0</v>
      </c>
      <c r="U109" s="2">
        <v>0.0</v>
      </c>
      <c r="V109" s="2">
        <v>0.0</v>
      </c>
      <c r="W109" s="2">
        <v>100.0</v>
      </c>
      <c r="X109" s="2">
        <v>0.0</v>
      </c>
      <c r="Y109" s="2">
        <v>0.0</v>
      </c>
      <c r="Z109" s="2">
        <v>0.0</v>
      </c>
      <c r="AA109" s="2">
        <v>0.0</v>
      </c>
      <c r="AB109" s="2">
        <v>0.0</v>
      </c>
      <c r="AC109" s="2">
        <v>100.0</v>
      </c>
      <c r="AD109" s="2">
        <v>0.0</v>
      </c>
      <c r="AE109" s="2">
        <v>157.0</v>
      </c>
      <c r="AF109" s="2">
        <v>10.0</v>
      </c>
      <c r="AG109" s="2">
        <v>0.0</v>
      </c>
      <c r="AH109" s="2">
        <v>100.0</v>
      </c>
      <c r="AI109" s="2" t="s">
        <v>1150</v>
      </c>
      <c r="AJ109" s="2" t="s">
        <v>1151</v>
      </c>
      <c r="AK109" s="2">
        <v>34.589343600281</v>
      </c>
      <c r="AL109" s="2">
        <v>4.72564080314905</v>
      </c>
      <c r="AM109" s="2" t="s">
        <v>55</v>
      </c>
      <c r="AN109" s="2">
        <v>2.409</v>
      </c>
      <c r="AO109" s="2" t="s">
        <v>31</v>
      </c>
      <c r="AP109" s="2">
        <v>0.00235849056603774</v>
      </c>
      <c r="AQ109" s="2">
        <v>0.997641509433962</v>
      </c>
      <c r="AR109" s="2">
        <v>0.997641509433962</v>
      </c>
      <c r="AS109" s="2">
        <v>4.0</v>
      </c>
    </row>
    <row r="110" ht="15.75" customHeight="1">
      <c r="A110" s="2">
        <v>14.0</v>
      </c>
      <c r="B110" s="2">
        <v>1579.388306</v>
      </c>
      <c r="C110" s="2">
        <v>158.0</v>
      </c>
      <c r="D110" s="2">
        <v>1523933.302</v>
      </c>
      <c r="E110" s="2">
        <v>5441023.245</v>
      </c>
      <c r="F110" s="2">
        <v>1579.388306</v>
      </c>
      <c r="G110" s="2" t="s">
        <v>1125</v>
      </c>
      <c r="H110" s="2" t="s">
        <v>1154</v>
      </c>
      <c r="I110" s="2">
        <v>45392.0</v>
      </c>
      <c r="J110" s="2">
        <v>4.0</v>
      </c>
      <c r="K110" s="2" t="s">
        <v>31</v>
      </c>
      <c r="L110" s="2" t="s">
        <v>135</v>
      </c>
      <c r="M110" s="2">
        <v>4.0</v>
      </c>
      <c r="N110" s="2">
        <v>50.0</v>
      </c>
      <c r="O110" s="2">
        <v>0.0</v>
      </c>
      <c r="P110" s="2">
        <v>50.0</v>
      </c>
      <c r="Q110" s="2">
        <v>0.0</v>
      </c>
      <c r="R110" s="2">
        <v>0.0</v>
      </c>
      <c r="S110" s="2">
        <v>0.0</v>
      </c>
      <c r="T110" s="2">
        <v>0.0</v>
      </c>
      <c r="U110" s="2">
        <v>0.0</v>
      </c>
      <c r="V110" s="2">
        <v>0.0</v>
      </c>
      <c r="W110" s="2">
        <v>100.0</v>
      </c>
      <c r="X110" s="2">
        <v>0.0</v>
      </c>
      <c r="Y110" s="2">
        <v>0.0</v>
      </c>
      <c r="Z110" s="2">
        <v>0.0</v>
      </c>
      <c r="AA110" s="2">
        <v>0.0</v>
      </c>
      <c r="AB110" s="2">
        <v>0.0</v>
      </c>
      <c r="AC110" s="2">
        <v>100.0</v>
      </c>
      <c r="AD110" s="2">
        <v>0.0</v>
      </c>
      <c r="AE110" s="2">
        <v>158.0</v>
      </c>
      <c r="AF110" s="2">
        <v>15.0</v>
      </c>
      <c r="AG110" s="2">
        <v>0.0</v>
      </c>
      <c r="AH110" s="2">
        <v>100.0</v>
      </c>
      <c r="AI110" s="2" t="s">
        <v>1157</v>
      </c>
      <c r="AJ110" s="2" t="s">
        <v>1158</v>
      </c>
      <c r="AK110" s="2">
        <v>41.2954670313831</v>
      </c>
      <c r="AL110" s="2">
        <v>0.309762812726939</v>
      </c>
      <c r="AM110" s="2" t="s">
        <v>74</v>
      </c>
      <c r="AN110" s="2">
        <v>2.409</v>
      </c>
      <c r="AO110" s="2" t="s">
        <v>31</v>
      </c>
      <c r="AP110" s="2">
        <v>0.00235849056603774</v>
      </c>
      <c r="AQ110" s="2">
        <v>0.997641509433962</v>
      </c>
      <c r="AR110" s="2">
        <v>0.5</v>
      </c>
      <c r="AS110" s="2">
        <v>4.0</v>
      </c>
    </row>
    <row r="111" ht="15.75" customHeight="1">
      <c r="A111" s="2">
        <v>14.0</v>
      </c>
      <c r="B111" s="2">
        <v>1580.828491</v>
      </c>
      <c r="C111" s="2">
        <v>159.0</v>
      </c>
      <c r="D111" s="2">
        <v>1523934.239</v>
      </c>
      <c r="E111" s="2">
        <v>5441027.351</v>
      </c>
      <c r="F111" s="2">
        <v>1580.828491</v>
      </c>
      <c r="G111" s="2" t="s">
        <v>1125</v>
      </c>
      <c r="H111" s="2" t="s">
        <v>1161</v>
      </c>
      <c r="I111" s="2">
        <v>45392.0</v>
      </c>
      <c r="J111" s="2">
        <v>5.0</v>
      </c>
      <c r="K111" s="2" t="s">
        <v>31</v>
      </c>
      <c r="L111" s="2" t="s">
        <v>135</v>
      </c>
      <c r="M111" s="2">
        <v>4.0</v>
      </c>
      <c r="N111" s="2">
        <v>70.0</v>
      </c>
      <c r="O111" s="2">
        <v>30.0</v>
      </c>
      <c r="P111" s="2">
        <v>0.0</v>
      </c>
      <c r="Q111" s="2">
        <v>0.0</v>
      </c>
      <c r="R111" s="2">
        <v>0.0</v>
      </c>
      <c r="S111" s="2">
        <v>0.0</v>
      </c>
      <c r="T111" s="2">
        <v>0.0</v>
      </c>
      <c r="U111" s="2">
        <v>0.0</v>
      </c>
      <c r="V111" s="2">
        <v>0.0</v>
      </c>
      <c r="W111" s="2">
        <v>100.0</v>
      </c>
      <c r="X111" s="2">
        <v>0.0</v>
      </c>
      <c r="Y111" s="2">
        <v>0.0</v>
      </c>
      <c r="Z111" s="2">
        <v>0.0</v>
      </c>
      <c r="AA111" s="2">
        <v>0.0</v>
      </c>
      <c r="AB111" s="2">
        <v>0.0</v>
      </c>
      <c r="AC111" s="2">
        <v>100.0</v>
      </c>
      <c r="AD111" s="2">
        <v>0.0</v>
      </c>
      <c r="AE111" s="2">
        <v>159.0</v>
      </c>
      <c r="AF111" s="2">
        <v>20.0</v>
      </c>
      <c r="AG111" s="2">
        <v>0.0</v>
      </c>
      <c r="AH111" s="2">
        <v>100.0</v>
      </c>
      <c r="AI111" s="2" t="s">
        <v>1164</v>
      </c>
      <c r="AJ111" s="2" t="s">
        <v>1165</v>
      </c>
      <c r="AK111" s="2">
        <v>45.3973261545327</v>
      </c>
      <c r="AL111" s="2">
        <v>4.52073378996108</v>
      </c>
      <c r="AM111" s="2" t="s">
        <v>74</v>
      </c>
      <c r="AN111" s="2">
        <v>2.409</v>
      </c>
      <c r="AO111" s="2" t="s">
        <v>31</v>
      </c>
      <c r="AP111" s="2">
        <v>0.00235849056603774</v>
      </c>
      <c r="AQ111" s="2">
        <v>0.997641509433962</v>
      </c>
      <c r="AR111" s="2">
        <v>0.699056603773585</v>
      </c>
      <c r="AS111" s="2">
        <v>4.0</v>
      </c>
    </row>
    <row r="112" ht="15.75" customHeight="1">
      <c r="A112" s="2">
        <v>14.0</v>
      </c>
      <c r="B112" s="2">
        <v>1577.584106</v>
      </c>
      <c r="C112" s="2">
        <v>160.0</v>
      </c>
      <c r="D112" s="2">
        <v>1523937.794</v>
      </c>
      <c r="E112" s="2">
        <v>5441036.779</v>
      </c>
      <c r="F112" s="2">
        <v>1577.584106</v>
      </c>
      <c r="G112" s="2" t="s">
        <v>1125</v>
      </c>
      <c r="H112" s="2" t="s">
        <v>1169</v>
      </c>
      <c r="I112" s="2">
        <v>45392.0</v>
      </c>
      <c r="J112" s="2">
        <v>6.0</v>
      </c>
      <c r="K112" s="2" t="s">
        <v>31</v>
      </c>
      <c r="L112" s="2" t="s">
        <v>135</v>
      </c>
      <c r="M112" s="2">
        <v>4.0</v>
      </c>
      <c r="N112" s="2">
        <v>40.0</v>
      </c>
      <c r="O112" s="2">
        <v>60.0</v>
      </c>
      <c r="P112" s="2">
        <v>0.0</v>
      </c>
      <c r="Q112" s="2">
        <v>0.0</v>
      </c>
      <c r="R112" s="2">
        <v>0.0</v>
      </c>
      <c r="S112" s="2">
        <v>0.0</v>
      </c>
      <c r="T112" s="2">
        <v>0.0</v>
      </c>
      <c r="U112" s="2">
        <v>0.0</v>
      </c>
      <c r="V112" s="2">
        <v>0.0</v>
      </c>
      <c r="W112" s="2">
        <v>100.0</v>
      </c>
      <c r="X112" s="2">
        <v>0.0</v>
      </c>
      <c r="Y112" s="2">
        <v>0.0</v>
      </c>
      <c r="Z112" s="2">
        <v>0.0</v>
      </c>
      <c r="AA112" s="2">
        <v>40.0</v>
      </c>
      <c r="AB112" s="2">
        <v>60.0</v>
      </c>
      <c r="AC112" s="2">
        <v>0.0</v>
      </c>
      <c r="AD112" s="2">
        <v>0.0</v>
      </c>
      <c r="AE112" s="2">
        <v>160.0</v>
      </c>
      <c r="AF112" s="2">
        <v>25.0</v>
      </c>
      <c r="AG112" s="2">
        <v>0.0</v>
      </c>
      <c r="AH112" s="2">
        <v>100.0</v>
      </c>
      <c r="AI112" s="2" t="s">
        <v>1175</v>
      </c>
      <c r="AJ112" s="2" t="s">
        <v>1176</v>
      </c>
      <c r="AK112" s="2">
        <v>55.4457536659454</v>
      </c>
      <c r="AL112" s="2">
        <v>3.79010738646735</v>
      </c>
      <c r="AM112" s="2" t="s">
        <v>55</v>
      </c>
      <c r="AN112" s="2">
        <v>2.409</v>
      </c>
      <c r="AO112" s="2" t="s">
        <v>31</v>
      </c>
      <c r="AP112" s="2">
        <v>0.00235849056603774</v>
      </c>
      <c r="AQ112" s="2">
        <v>0.997641509433962</v>
      </c>
      <c r="AR112" s="2">
        <v>0.400471698113208</v>
      </c>
      <c r="AS112" s="2">
        <v>4.0</v>
      </c>
    </row>
    <row r="113" ht="15.75" customHeight="1">
      <c r="A113" s="2">
        <v>14.0</v>
      </c>
      <c r="B113" s="2">
        <v>1577.610352</v>
      </c>
      <c r="C113" s="2">
        <v>161.0</v>
      </c>
      <c r="D113" s="2">
        <v>1523941.667</v>
      </c>
      <c r="E113" s="2">
        <v>5441040.987</v>
      </c>
      <c r="F113" s="2">
        <v>1577.610352</v>
      </c>
      <c r="G113" s="2" t="s">
        <v>1125</v>
      </c>
      <c r="H113" s="2" t="s">
        <v>1179</v>
      </c>
      <c r="I113" s="2">
        <v>45392.0</v>
      </c>
      <c r="J113" s="2">
        <v>7.0</v>
      </c>
      <c r="K113" s="2" t="s">
        <v>31</v>
      </c>
      <c r="L113" s="2" t="s">
        <v>135</v>
      </c>
      <c r="M113" s="2">
        <v>4.0</v>
      </c>
      <c r="N113" s="2">
        <v>100.0</v>
      </c>
      <c r="O113" s="2">
        <v>0.0</v>
      </c>
      <c r="P113" s="2">
        <v>0.0</v>
      </c>
      <c r="Q113" s="2">
        <v>0.0</v>
      </c>
      <c r="R113" s="2">
        <v>0.0</v>
      </c>
      <c r="S113" s="2">
        <v>0.0</v>
      </c>
      <c r="T113" s="2">
        <v>0.0</v>
      </c>
      <c r="U113" s="2">
        <v>0.0</v>
      </c>
      <c r="V113" s="2">
        <v>0.0</v>
      </c>
      <c r="W113" s="2">
        <v>100.0</v>
      </c>
      <c r="X113" s="2">
        <v>0.0</v>
      </c>
      <c r="Y113" s="2">
        <v>0.0</v>
      </c>
      <c r="Z113" s="2">
        <v>0.0</v>
      </c>
      <c r="AA113" s="2">
        <v>0.0</v>
      </c>
      <c r="AB113" s="2">
        <v>0.0</v>
      </c>
      <c r="AC113" s="2">
        <v>100.0</v>
      </c>
      <c r="AD113" s="2">
        <v>0.0</v>
      </c>
      <c r="AE113" s="2">
        <v>161.0</v>
      </c>
      <c r="AF113" s="2">
        <v>30.0</v>
      </c>
      <c r="AG113" s="2">
        <v>0.0</v>
      </c>
      <c r="AH113" s="2">
        <v>100.0</v>
      </c>
      <c r="AI113" s="2" t="s">
        <v>1184</v>
      </c>
      <c r="AJ113" s="2" t="s">
        <v>1185</v>
      </c>
      <c r="AK113" s="2">
        <v>60.9067867352088</v>
      </c>
      <c r="AL113" s="2">
        <v>8.60664330588202</v>
      </c>
      <c r="AM113" s="2" t="s">
        <v>55</v>
      </c>
      <c r="AN113" s="2">
        <v>2.409</v>
      </c>
      <c r="AO113" s="2" t="s">
        <v>31</v>
      </c>
      <c r="AP113" s="2">
        <v>0.00235849056603774</v>
      </c>
      <c r="AQ113" s="2">
        <v>0.997641509433962</v>
      </c>
      <c r="AR113" s="2">
        <v>0.997641509433962</v>
      </c>
      <c r="AS113" s="2">
        <v>4.0</v>
      </c>
    </row>
    <row r="114" ht="15.75" customHeight="1">
      <c r="A114" s="2">
        <v>14.0</v>
      </c>
      <c r="B114" s="2">
        <v>1576.543091</v>
      </c>
      <c r="C114" s="2">
        <v>162.0</v>
      </c>
      <c r="D114" s="2">
        <v>1523940.418</v>
      </c>
      <c r="E114" s="2">
        <v>5441043.767</v>
      </c>
      <c r="F114" s="2">
        <v>1576.543091</v>
      </c>
      <c r="G114" s="2" t="s">
        <v>1125</v>
      </c>
      <c r="H114" s="2" t="s">
        <v>1187</v>
      </c>
      <c r="I114" s="2">
        <v>45392.0</v>
      </c>
      <c r="J114" s="2">
        <v>8.0</v>
      </c>
      <c r="K114" s="2" t="s">
        <v>31</v>
      </c>
      <c r="L114" s="2" t="s">
        <v>135</v>
      </c>
      <c r="M114" s="2">
        <v>3.0</v>
      </c>
      <c r="N114" s="2">
        <v>0.0</v>
      </c>
      <c r="O114" s="2">
        <v>0.0</v>
      </c>
      <c r="P114" s="2">
        <v>40.0</v>
      </c>
      <c r="Q114" s="2">
        <v>50.0</v>
      </c>
      <c r="R114" s="2">
        <v>0.0</v>
      </c>
      <c r="S114" s="2">
        <v>10.0</v>
      </c>
      <c r="T114" s="2">
        <v>0.0</v>
      </c>
      <c r="U114" s="2">
        <v>0.0</v>
      </c>
      <c r="V114" s="2">
        <v>0.0</v>
      </c>
      <c r="W114" s="2">
        <v>100.0</v>
      </c>
      <c r="X114" s="2">
        <v>60.0</v>
      </c>
      <c r="Y114" s="2">
        <v>0.0</v>
      </c>
      <c r="Z114" s="2">
        <v>0.0</v>
      </c>
      <c r="AA114" s="2">
        <v>40.0</v>
      </c>
      <c r="AB114" s="2">
        <v>0.0</v>
      </c>
      <c r="AC114" s="2">
        <v>0.0</v>
      </c>
      <c r="AD114" s="2">
        <v>0.0</v>
      </c>
      <c r="AE114" s="2">
        <v>162.0</v>
      </c>
      <c r="AF114" s="2">
        <v>35.0</v>
      </c>
      <c r="AG114" s="2">
        <v>10.0</v>
      </c>
      <c r="AH114" s="2">
        <v>40.0</v>
      </c>
      <c r="AI114" s="2" t="s">
        <v>1190</v>
      </c>
      <c r="AJ114" s="2" t="s">
        <v>1191</v>
      </c>
      <c r="AK114" s="2">
        <v>62.8948382193739</v>
      </c>
      <c r="AL114" s="2">
        <v>10.9253361504363</v>
      </c>
      <c r="AM114" s="2" t="s">
        <v>55</v>
      </c>
      <c r="AN114" s="2">
        <v>2.409</v>
      </c>
      <c r="AO114" s="2" t="s">
        <v>31</v>
      </c>
      <c r="AP114" s="2">
        <v>0.10188679245283</v>
      </c>
      <c r="AQ114" s="2">
        <v>0.400471698113208</v>
      </c>
      <c r="AR114" s="2">
        <v>0.00235849056603774</v>
      </c>
      <c r="AS114" s="2">
        <v>3.0</v>
      </c>
    </row>
    <row r="115" ht="15.75" customHeight="1">
      <c r="A115" s="2">
        <v>14.0</v>
      </c>
      <c r="B115" s="2">
        <v>1577.365723</v>
      </c>
      <c r="C115" s="2">
        <v>163.0</v>
      </c>
      <c r="D115" s="2">
        <v>1523940.275</v>
      </c>
      <c r="E115" s="2">
        <v>5441051.431</v>
      </c>
      <c r="F115" s="2">
        <v>1577.365723</v>
      </c>
      <c r="G115" s="2" t="s">
        <v>1125</v>
      </c>
      <c r="H115" s="2" t="s">
        <v>1195</v>
      </c>
      <c r="I115" s="2">
        <v>45392.0</v>
      </c>
      <c r="J115" s="2">
        <v>9.0</v>
      </c>
      <c r="K115" s="2" t="s">
        <v>31</v>
      </c>
      <c r="L115" s="2" t="s">
        <v>135</v>
      </c>
      <c r="M115" s="2">
        <v>3.0</v>
      </c>
      <c r="N115" s="2">
        <v>30.0</v>
      </c>
      <c r="O115" s="2">
        <v>0.0</v>
      </c>
      <c r="P115" s="2">
        <v>10.0</v>
      </c>
      <c r="Q115" s="2">
        <v>0.0</v>
      </c>
      <c r="R115" s="2">
        <v>10.0</v>
      </c>
      <c r="S115" s="2">
        <v>20.0</v>
      </c>
      <c r="T115" s="2">
        <v>0.0</v>
      </c>
      <c r="U115" s="2">
        <v>30.0</v>
      </c>
      <c r="V115" s="2">
        <v>0.0</v>
      </c>
      <c r="W115" s="2">
        <v>100.0</v>
      </c>
      <c r="X115" s="2">
        <v>70.0</v>
      </c>
      <c r="Y115" s="2">
        <v>0.0</v>
      </c>
      <c r="Z115" s="2">
        <v>0.0</v>
      </c>
      <c r="AA115" s="2">
        <v>30.0</v>
      </c>
      <c r="AB115" s="2">
        <v>0.0</v>
      </c>
      <c r="AC115" s="2">
        <v>0.0</v>
      </c>
      <c r="AD115" s="2">
        <v>0.0</v>
      </c>
      <c r="AE115" s="2">
        <v>163.0</v>
      </c>
      <c r="AF115" s="2">
        <v>40.0</v>
      </c>
      <c r="AG115" s="2">
        <v>60.0</v>
      </c>
      <c r="AH115" s="2">
        <v>30.0</v>
      </c>
      <c r="AI115" s="2" t="s">
        <v>1198</v>
      </c>
      <c r="AJ115" s="2" t="s">
        <v>1199</v>
      </c>
      <c r="AK115" s="2">
        <v>69.9120627773425</v>
      </c>
      <c r="AL115" s="2">
        <v>18.4946482257679</v>
      </c>
      <c r="AM115" s="2" t="s">
        <v>55</v>
      </c>
      <c r="AN115" s="2">
        <v>2.409</v>
      </c>
      <c r="AO115" s="2" t="s">
        <v>31</v>
      </c>
      <c r="AP115" s="2">
        <v>0.599528301886792</v>
      </c>
      <c r="AQ115" s="2">
        <v>0.300943396226415</v>
      </c>
      <c r="AR115" s="2">
        <v>0.300943396226415</v>
      </c>
      <c r="AS115" s="2">
        <v>3.0</v>
      </c>
    </row>
    <row r="116" ht="15.75" customHeight="1">
      <c r="A116" s="2">
        <v>14.0</v>
      </c>
      <c r="B116" s="2">
        <v>1578.071777</v>
      </c>
      <c r="C116" s="2">
        <v>164.0</v>
      </c>
      <c r="D116" s="2">
        <v>1523944.32</v>
      </c>
      <c r="E116" s="2">
        <v>5441056.749</v>
      </c>
      <c r="F116" s="2">
        <v>1578.071777</v>
      </c>
      <c r="G116" s="2" t="s">
        <v>1125</v>
      </c>
      <c r="H116" s="2" t="s">
        <v>1202</v>
      </c>
      <c r="I116" s="2">
        <v>45392.0</v>
      </c>
      <c r="J116" s="2">
        <v>10.0</v>
      </c>
      <c r="K116" s="2" t="s">
        <v>31</v>
      </c>
      <c r="L116" s="2" t="s">
        <v>135</v>
      </c>
      <c r="M116" s="2">
        <v>2.0</v>
      </c>
      <c r="N116" s="2">
        <v>0.0</v>
      </c>
      <c r="O116" s="2">
        <v>0.0</v>
      </c>
      <c r="P116" s="2">
        <v>0.0</v>
      </c>
      <c r="Q116" s="2">
        <v>0.0</v>
      </c>
      <c r="R116" s="2">
        <v>0.0</v>
      </c>
      <c r="S116" s="2">
        <v>0.0</v>
      </c>
      <c r="T116" s="2">
        <v>20.0</v>
      </c>
      <c r="U116" s="2">
        <v>0.0</v>
      </c>
      <c r="V116" s="2">
        <v>80.0</v>
      </c>
      <c r="W116" s="2">
        <v>100.0</v>
      </c>
      <c r="X116" s="2">
        <v>90.0</v>
      </c>
      <c r="Y116" s="2">
        <v>0.0</v>
      </c>
      <c r="Z116" s="2">
        <v>0.0</v>
      </c>
      <c r="AA116" s="2">
        <v>10.0</v>
      </c>
      <c r="AB116" s="2">
        <v>0.0</v>
      </c>
      <c r="AC116" s="2">
        <v>0.0</v>
      </c>
      <c r="AD116" s="2">
        <v>0.0</v>
      </c>
      <c r="AE116" s="2">
        <v>164.0</v>
      </c>
      <c r="AF116" s="2">
        <v>45.0</v>
      </c>
      <c r="AG116" s="2">
        <v>100.0</v>
      </c>
      <c r="AH116" s="2">
        <v>10.0</v>
      </c>
      <c r="AI116" s="2" t="s">
        <v>1205</v>
      </c>
      <c r="AJ116" s="2" t="s">
        <v>1207</v>
      </c>
      <c r="AK116" s="2">
        <v>76.36011707787</v>
      </c>
      <c r="AL116" s="2">
        <v>24.4483225189905</v>
      </c>
      <c r="AM116" s="2" t="s">
        <v>55</v>
      </c>
      <c r="AN116" s="2">
        <v>2.409</v>
      </c>
      <c r="AO116" s="2" t="s">
        <v>31</v>
      </c>
      <c r="AP116" s="2">
        <v>0.997641509433962</v>
      </c>
      <c r="AQ116" s="2">
        <v>0.10188679245283</v>
      </c>
      <c r="AR116" s="2">
        <v>0.00235849056603774</v>
      </c>
      <c r="AS116" s="2">
        <v>2.0</v>
      </c>
    </row>
    <row r="117" ht="15.75" customHeight="1">
      <c r="A117" s="2">
        <v>14.0</v>
      </c>
      <c r="B117" s="2">
        <v>1578.767822</v>
      </c>
      <c r="C117" s="2">
        <v>165.0</v>
      </c>
      <c r="D117" s="2">
        <v>1523946.686</v>
      </c>
      <c r="E117" s="2">
        <v>5441061.849</v>
      </c>
      <c r="F117" s="2">
        <v>1578.767822</v>
      </c>
      <c r="G117" s="2" t="s">
        <v>1125</v>
      </c>
      <c r="H117" s="2" t="s">
        <v>1210</v>
      </c>
      <c r="I117" s="2">
        <v>45392.0</v>
      </c>
      <c r="J117" s="2">
        <v>11.0</v>
      </c>
      <c r="K117" s="2" t="s">
        <v>31</v>
      </c>
      <c r="L117" s="2" t="s">
        <v>135</v>
      </c>
      <c r="M117" s="2">
        <v>2.0</v>
      </c>
      <c r="N117" s="2">
        <v>0.0</v>
      </c>
      <c r="O117" s="2">
        <v>0.0</v>
      </c>
      <c r="P117" s="2">
        <v>0.0</v>
      </c>
      <c r="Q117" s="2">
        <v>0.0</v>
      </c>
      <c r="R117" s="2">
        <v>0.0</v>
      </c>
      <c r="S117" s="2">
        <v>0.0</v>
      </c>
      <c r="T117" s="2">
        <v>10.0</v>
      </c>
      <c r="U117" s="2">
        <v>0.0</v>
      </c>
      <c r="V117" s="2">
        <v>90.0</v>
      </c>
      <c r="W117" s="2">
        <v>100.0</v>
      </c>
      <c r="X117" s="2">
        <v>90.0</v>
      </c>
      <c r="Y117" s="2">
        <v>0.0</v>
      </c>
      <c r="Z117" s="2">
        <v>0.0</v>
      </c>
      <c r="AA117" s="2">
        <v>10.0</v>
      </c>
      <c r="AB117" s="2">
        <v>0.0</v>
      </c>
      <c r="AC117" s="2">
        <v>0.0</v>
      </c>
      <c r="AD117" s="2">
        <v>0.0</v>
      </c>
      <c r="AE117" s="2">
        <v>165.0</v>
      </c>
      <c r="AF117" s="2">
        <v>50.0</v>
      </c>
      <c r="AG117" s="2">
        <v>100.0</v>
      </c>
      <c r="AH117" s="2">
        <v>10.0</v>
      </c>
      <c r="AI117" s="2" t="s">
        <v>1213</v>
      </c>
      <c r="AJ117" s="2" t="s">
        <v>1215</v>
      </c>
      <c r="AK117" s="2">
        <v>81.9785236762421</v>
      </c>
      <c r="AL117" s="2">
        <v>27.4112346307703</v>
      </c>
      <c r="AM117" s="2" t="s">
        <v>55</v>
      </c>
      <c r="AN117" s="2">
        <v>2.409</v>
      </c>
      <c r="AO117" s="2" t="s">
        <v>31</v>
      </c>
      <c r="AP117" s="2">
        <v>0.997641509433962</v>
      </c>
      <c r="AQ117" s="2">
        <v>0.10188679245283</v>
      </c>
      <c r="AR117" s="2">
        <v>0.00235849056603774</v>
      </c>
      <c r="AS117" s="2">
        <v>2.0</v>
      </c>
    </row>
    <row r="118" ht="15.75" customHeight="1">
      <c r="A118" s="2">
        <v>14.0</v>
      </c>
      <c r="B118" s="2">
        <v>1577.057861</v>
      </c>
      <c r="C118" s="2">
        <v>166.0</v>
      </c>
      <c r="D118" s="2">
        <v>1523952.579</v>
      </c>
      <c r="E118" s="2">
        <v>5441068.049</v>
      </c>
      <c r="F118" s="2">
        <v>1577.057861</v>
      </c>
      <c r="G118" s="2" t="s">
        <v>1125</v>
      </c>
      <c r="H118" s="2" t="s">
        <v>1217</v>
      </c>
      <c r="I118" s="2">
        <v>45392.0</v>
      </c>
      <c r="J118" s="2">
        <v>12.0</v>
      </c>
      <c r="K118" s="2" t="s">
        <v>31</v>
      </c>
      <c r="L118" s="2" t="s">
        <v>135</v>
      </c>
      <c r="M118" s="2">
        <v>2.0</v>
      </c>
      <c r="N118" s="2">
        <v>0.0</v>
      </c>
      <c r="O118" s="2">
        <v>0.0</v>
      </c>
      <c r="P118" s="2">
        <v>0.0</v>
      </c>
      <c r="Q118" s="2">
        <v>0.0</v>
      </c>
      <c r="R118" s="2">
        <v>0.0</v>
      </c>
      <c r="S118" s="2">
        <v>0.0</v>
      </c>
      <c r="T118" s="2">
        <v>50.0</v>
      </c>
      <c r="U118" s="2">
        <v>0.0</v>
      </c>
      <c r="V118" s="2">
        <v>50.0</v>
      </c>
      <c r="W118" s="2">
        <v>100.0</v>
      </c>
      <c r="X118" s="2">
        <v>100.0</v>
      </c>
      <c r="Y118" s="2">
        <v>0.0</v>
      </c>
      <c r="Z118" s="2">
        <v>0.0</v>
      </c>
      <c r="AA118" s="2">
        <v>0.0</v>
      </c>
      <c r="AB118" s="2">
        <v>0.0</v>
      </c>
      <c r="AC118" s="2">
        <v>0.0</v>
      </c>
      <c r="AD118" s="2">
        <v>0.0</v>
      </c>
      <c r="AE118" s="2">
        <v>166.0</v>
      </c>
      <c r="AF118" s="2">
        <v>55.0</v>
      </c>
      <c r="AG118" s="2">
        <v>100.0</v>
      </c>
      <c r="AH118" s="2">
        <v>0.0</v>
      </c>
      <c r="AI118" s="2" t="s">
        <v>1222</v>
      </c>
      <c r="AJ118" s="2" t="s">
        <v>1223</v>
      </c>
      <c r="AK118" s="2">
        <v>90.0327613712152</v>
      </c>
      <c r="AL118" s="2">
        <v>21.4406943222061</v>
      </c>
      <c r="AM118" s="2" t="s">
        <v>55</v>
      </c>
      <c r="AN118" s="2">
        <v>2.409</v>
      </c>
      <c r="AO118" s="2" t="s">
        <v>31</v>
      </c>
      <c r="AP118" s="2">
        <v>0.997641509433962</v>
      </c>
      <c r="AQ118" s="2">
        <v>0.00235849056603774</v>
      </c>
      <c r="AR118" s="2">
        <v>0.00235849056603774</v>
      </c>
      <c r="AS118" s="2">
        <v>2.0</v>
      </c>
    </row>
    <row r="119" ht="15.75" customHeight="1">
      <c r="A119" s="2">
        <v>14.0</v>
      </c>
      <c r="B119" s="2">
        <v>1577.660034</v>
      </c>
      <c r="C119" s="2">
        <v>167.0</v>
      </c>
      <c r="D119" s="2">
        <v>1523956.03</v>
      </c>
      <c r="E119" s="2">
        <v>5441071.37</v>
      </c>
      <c r="F119" s="2">
        <v>1577.660034</v>
      </c>
      <c r="G119" s="2" t="s">
        <v>1125</v>
      </c>
      <c r="H119" s="2" t="s">
        <v>1224</v>
      </c>
      <c r="I119" s="2">
        <v>45392.0</v>
      </c>
      <c r="J119" s="2">
        <v>13.0</v>
      </c>
      <c r="K119" s="2" t="s">
        <v>31</v>
      </c>
      <c r="L119" s="2" t="s">
        <v>135</v>
      </c>
      <c r="M119" s="2">
        <v>2.0</v>
      </c>
      <c r="N119" s="2">
        <v>0.0</v>
      </c>
      <c r="O119" s="2">
        <v>0.0</v>
      </c>
      <c r="P119" s="2">
        <v>10.0</v>
      </c>
      <c r="Q119" s="2">
        <v>40.0</v>
      </c>
      <c r="R119" s="2">
        <v>0.0</v>
      </c>
      <c r="S119" s="2">
        <v>0.0</v>
      </c>
      <c r="T119" s="2">
        <v>0.0</v>
      </c>
      <c r="U119" s="2">
        <v>20.0</v>
      </c>
      <c r="V119" s="2">
        <v>30.0</v>
      </c>
      <c r="W119" s="2">
        <v>100.0</v>
      </c>
      <c r="X119" s="2">
        <v>100.0</v>
      </c>
      <c r="Y119" s="2">
        <v>0.0</v>
      </c>
      <c r="Z119" s="2">
        <v>0.0</v>
      </c>
      <c r="AA119" s="2">
        <v>0.0</v>
      </c>
      <c r="AB119" s="2">
        <v>0.0</v>
      </c>
      <c r="AC119" s="2">
        <v>0.0</v>
      </c>
      <c r="AD119" s="2">
        <v>0.0</v>
      </c>
      <c r="AE119" s="2">
        <v>167.0</v>
      </c>
      <c r="AF119" s="2">
        <v>60.0</v>
      </c>
      <c r="AG119" s="2">
        <v>50.0</v>
      </c>
      <c r="AH119" s="2">
        <v>0.0</v>
      </c>
      <c r="AI119" s="2" t="s">
        <v>1228</v>
      </c>
      <c r="AJ119" s="2" t="s">
        <v>1229</v>
      </c>
      <c r="AK119" s="2">
        <v>94.5111913589851</v>
      </c>
      <c r="AL119" s="2">
        <v>19.1773188167773</v>
      </c>
      <c r="AM119" s="2" t="s">
        <v>55</v>
      </c>
      <c r="AN119" s="2">
        <v>2.409</v>
      </c>
      <c r="AO119" s="2" t="s">
        <v>31</v>
      </c>
      <c r="AP119" s="2">
        <v>0.5</v>
      </c>
      <c r="AQ119" s="2">
        <v>0.00235849056603774</v>
      </c>
      <c r="AR119" s="2">
        <v>0.00235849056603774</v>
      </c>
      <c r="AS119" s="2">
        <v>2.0</v>
      </c>
    </row>
    <row r="120" ht="15.75" customHeight="1">
      <c r="A120" s="2">
        <v>14.0</v>
      </c>
      <c r="B120" s="2">
        <v>1579.012085</v>
      </c>
      <c r="C120" s="2">
        <v>168.0</v>
      </c>
      <c r="D120" s="2">
        <v>1523959.41</v>
      </c>
      <c r="E120" s="2">
        <v>5441078.578</v>
      </c>
      <c r="F120" s="2">
        <v>1579.012085</v>
      </c>
      <c r="G120" s="2" t="s">
        <v>1125</v>
      </c>
      <c r="H120" s="2" t="s">
        <v>1232</v>
      </c>
      <c r="I120" s="2">
        <v>45392.0</v>
      </c>
      <c r="J120" s="2">
        <v>14.0</v>
      </c>
      <c r="K120" s="2" t="s">
        <v>31</v>
      </c>
      <c r="L120" s="2" t="s">
        <v>135</v>
      </c>
      <c r="M120" s="2">
        <v>2.0</v>
      </c>
      <c r="N120" s="2">
        <v>0.0</v>
      </c>
      <c r="O120" s="2">
        <v>0.0</v>
      </c>
      <c r="P120" s="2">
        <v>0.0</v>
      </c>
      <c r="Q120" s="2">
        <v>40.0</v>
      </c>
      <c r="R120" s="2">
        <v>0.0</v>
      </c>
      <c r="S120" s="2">
        <v>20.0</v>
      </c>
      <c r="T120" s="2">
        <v>0.0</v>
      </c>
      <c r="U120" s="2">
        <v>30.0</v>
      </c>
      <c r="V120" s="2">
        <v>10.0</v>
      </c>
      <c r="W120" s="2">
        <v>100.0</v>
      </c>
      <c r="X120" s="2">
        <v>100.0</v>
      </c>
      <c r="Y120" s="2">
        <v>0.0</v>
      </c>
      <c r="Z120" s="2">
        <v>0.0</v>
      </c>
      <c r="AA120" s="2">
        <v>0.0</v>
      </c>
      <c r="AB120" s="2">
        <v>0.0</v>
      </c>
      <c r="AC120" s="2">
        <v>0.0</v>
      </c>
      <c r="AD120" s="2">
        <v>0.0</v>
      </c>
      <c r="AE120" s="2">
        <v>168.0</v>
      </c>
      <c r="AF120" s="2">
        <v>65.0</v>
      </c>
      <c r="AG120" s="2">
        <v>60.0</v>
      </c>
      <c r="AH120" s="2">
        <v>0.0</v>
      </c>
      <c r="AI120" s="2" t="s">
        <v>1237</v>
      </c>
      <c r="AJ120" s="2" t="s">
        <v>1238</v>
      </c>
      <c r="AK120" s="2">
        <v>102.471718548467</v>
      </c>
      <c r="AL120" s="2">
        <v>14.9250073704021</v>
      </c>
      <c r="AM120" s="2" t="s">
        <v>55</v>
      </c>
      <c r="AN120" s="2">
        <v>2.409</v>
      </c>
      <c r="AO120" s="2" t="s">
        <v>31</v>
      </c>
      <c r="AP120" s="2">
        <v>0.599528301886792</v>
      </c>
      <c r="AQ120" s="2">
        <v>0.00235849056603774</v>
      </c>
      <c r="AR120" s="2">
        <v>0.00235849056603774</v>
      </c>
      <c r="AS120" s="2">
        <v>2.0</v>
      </c>
    </row>
    <row r="121" ht="15.75" customHeight="1">
      <c r="A121" s="2">
        <v>14.0</v>
      </c>
      <c r="B121" s="2">
        <v>1581.341675</v>
      </c>
      <c r="C121" s="2">
        <v>169.0</v>
      </c>
      <c r="D121" s="2">
        <v>1523963.628</v>
      </c>
      <c r="E121" s="2">
        <v>5441085.56</v>
      </c>
      <c r="F121" s="2">
        <v>1581.341675</v>
      </c>
      <c r="G121" s="2" t="s">
        <v>1125</v>
      </c>
      <c r="H121" s="2" t="s">
        <v>1243</v>
      </c>
      <c r="I121" s="2">
        <v>45392.0</v>
      </c>
      <c r="J121" s="2">
        <v>15.0</v>
      </c>
      <c r="K121" s="2" t="s">
        <v>31</v>
      </c>
      <c r="L121" s="2" t="s">
        <v>135</v>
      </c>
      <c r="M121" s="2">
        <v>2.0</v>
      </c>
      <c r="N121" s="2">
        <v>30.0</v>
      </c>
      <c r="O121" s="2">
        <v>60.0</v>
      </c>
      <c r="P121" s="2">
        <v>0.0</v>
      </c>
      <c r="Q121" s="2">
        <v>0.0</v>
      </c>
      <c r="R121" s="2">
        <v>0.0</v>
      </c>
      <c r="S121" s="2">
        <v>10.0</v>
      </c>
      <c r="T121" s="2">
        <v>0.0</v>
      </c>
      <c r="U121" s="2">
        <v>0.0</v>
      </c>
      <c r="V121" s="2">
        <v>0.0</v>
      </c>
      <c r="W121" s="2">
        <v>100.0</v>
      </c>
      <c r="X121" s="2">
        <v>90.0</v>
      </c>
      <c r="Y121" s="2">
        <v>0.0</v>
      </c>
      <c r="Z121" s="2">
        <v>0.0</v>
      </c>
      <c r="AA121" s="2">
        <v>10.0</v>
      </c>
      <c r="AB121" s="2">
        <v>0.0</v>
      </c>
      <c r="AC121" s="2">
        <v>0.0</v>
      </c>
      <c r="AD121" s="2">
        <v>0.0</v>
      </c>
      <c r="AE121" s="2">
        <v>169.0</v>
      </c>
      <c r="AF121" s="2">
        <v>70.0</v>
      </c>
      <c r="AG121" s="2">
        <v>10.0</v>
      </c>
      <c r="AH121" s="2">
        <v>10.0</v>
      </c>
      <c r="AI121" s="2" t="s">
        <v>1249</v>
      </c>
      <c r="AJ121" s="2" t="s">
        <v>1250</v>
      </c>
      <c r="AK121" s="2">
        <v>110.596184939051</v>
      </c>
      <c r="AL121" s="2">
        <v>15.1680962881258</v>
      </c>
      <c r="AM121" s="2" t="s">
        <v>55</v>
      </c>
      <c r="AN121" s="2">
        <v>2.409</v>
      </c>
      <c r="AO121" s="2" t="s">
        <v>31</v>
      </c>
      <c r="AP121" s="2">
        <v>0.10188679245283</v>
      </c>
      <c r="AQ121" s="2">
        <v>0.10188679245283</v>
      </c>
      <c r="AR121" s="2">
        <v>0.300943396226415</v>
      </c>
      <c r="AS121" s="2">
        <v>2.0</v>
      </c>
    </row>
    <row r="122" ht="15.75" customHeight="1">
      <c r="A122" s="2">
        <v>14.0</v>
      </c>
      <c r="B122" s="2">
        <v>1578.425415</v>
      </c>
      <c r="C122" s="2">
        <v>170.0</v>
      </c>
      <c r="D122" s="2">
        <v>1523965.334</v>
      </c>
      <c r="E122" s="2">
        <v>5441093.884</v>
      </c>
      <c r="F122" s="2">
        <v>1578.425415</v>
      </c>
      <c r="G122" s="2" t="s">
        <v>1125</v>
      </c>
      <c r="H122" s="2" t="s">
        <v>1253</v>
      </c>
      <c r="I122" s="2">
        <v>45392.0</v>
      </c>
      <c r="J122" s="2">
        <v>16.0</v>
      </c>
      <c r="K122" s="2" t="s">
        <v>31</v>
      </c>
      <c r="L122" s="2" t="s">
        <v>135</v>
      </c>
      <c r="M122" s="2">
        <v>1.0</v>
      </c>
      <c r="N122" s="2">
        <v>0.0</v>
      </c>
      <c r="O122" s="2">
        <v>0.0</v>
      </c>
      <c r="P122" s="2">
        <v>20.0</v>
      </c>
      <c r="Q122" s="2">
        <v>70.0</v>
      </c>
      <c r="R122" s="2">
        <v>0.0</v>
      </c>
      <c r="S122" s="2">
        <v>10.0</v>
      </c>
      <c r="T122" s="2">
        <v>0.0</v>
      </c>
      <c r="U122" s="2">
        <v>0.0</v>
      </c>
      <c r="V122" s="2">
        <v>0.0</v>
      </c>
      <c r="W122" s="2">
        <v>100.0</v>
      </c>
      <c r="X122" s="2">
        <v>100.0</v>
      </c>
      <c r="Y122" s="2">
        <v>0.0</v>
      </c>
      <c r="Z122" s="2">
        <v>0.0</v>
      </c>
      <c r="AA122" s="2">
        <v>0.0</v>
      </c>
      <c r="AB122" s="2">
        <v>0.0</v>
      </c>
      <c r="AC122" s="2">
        <v>0.0</v>
      </c>
      <c r="AD122" s="2">
        <v>0.0</v>
      </c>
      <c r="AE122" s="2">
        <v>170.0</v>
      </c>
      <c r="AF122" s="2">
        <v>75.0</v>
      </c>
      <c r="AG122" s="2">
        <v>10.0</v>
      </c>
      <c r="AH122" s="2">
        <v>0.0</v>
      </c>
      <c r="AI122" s="2" t="s">
        <v>1259</v>
      </c>
      <c r="AJ122" s="2" t="s">
        <v>1260</v>
      </c>
      <c r="AK122" s="2">
        <v>118.837674845776</v>
      </c>
      <c r="AL122" s="2">
        <v>17.1002986230709</v>
      </c>
      <c r="AM122" s="2" t="s">
        <v>55</v>
      </c>
      <c r="AN122" s="2">
        <v>2.409</v>
      </c>
      <c r="AO122" s="2" t="s">
        <v>31</v>
      </c>
      <c r="AP122" s="2">
        <v>0.10188679245283</v>
      </c>
      <c r="AQ122" s="2">
        <v>0.00235849056603774</v>
      </c>
      <c r="AR122" s="2">
        <v>0.00235849056603774</v>
      </c>
      <c r="AS122" s="2">
        <v>1.0</v>
      </c>
    </row>
    <row r="123" ht="15.75" customHeight="1">
      <c r="A123" s="2">
        <v>15.0</v>
      </c>
      <c r="B123" s="2">
        <v>1385.69519</v>
      </c>
      <c r="C123" s="2">
        <v>203.0</v>
      </c>
      <c r="D123" s="2">
        <v>1522443.533</v>
      </c>
      <c r="E123" s="2">
        <v>5440535.542</v>
      </c>
      <c r="F123" s="2">
        <v>1385.69519</v>
      </c>
      <c r="G123" s="2" t="s">
        <v>142</v>
      </c>
      <c r="H123" s="2" t="s">
        <v>1265</v>
      </c>
      <c r="I123" s="2">
        <v>45392.0</v>
      </c>
      <c r="J123" s="2">
        <v>1.0</v>
      </c>
      <c r="K123" s="2" t="s">
        <v>36</v>
      </c>
      <c r="L123" s="2" t="s">
        <v>142</v>
      </c>
      <c r="M123" s="2">
        <v>4.0</v>
      </c>
      <c r="N123" s="2">
        <v>100.0</v>
      </c>
      <c r="O123" s="2">
        <v>0.0</v>
      </c>
      <c r="P123" s="2">
        <v>0.0</v>
      </c>
      <c r="Q123" s="2">
        <v>0.0</v>
      </c>
      <c r="R123" s="2">
        <v>0.0</v>
      </c>
      <c r="S123" s="2">
        <v>0.0</v>
      </c>
      <c r="T123" s="2">
        <v>0.0</v>
      </c>
      <c r="U123" s="2">
        <v>0.0</v>
      </c>
      <c r="V123" s="2">
        <v>0.0</v>
      </c>
      <c r="W123" s="2">
        <v>100.0</v>
      </c>
      <c r="X123" s="2">
        <v>0.0</v>
      </c>
      <c r="Y123" s="2">
        <v>0.0</v>
      </c>
      <c r="Z123" s="2">
        <v>0.0</v>
      </c>
      <c r="AA123" s="2">
        <v>100.0</v>
      </c>
      <c r="AB123" s="2">
        <v>0.0</v>
      </c>
      <c r="AC123" s="2">
        <v>0.0</v>
      </c>
      <c r="AD123" s="2">
        <v>0.0</v>
      </c>
      <c r="AE123" s="2">
        <v>203.0</v>
      </c>
      <c r="AF123" s="2">
        <v>0.0</v>
      </c>
      <c r="AG123" s="2">
        <v>0.0</v>
      </c>
      <c r="AH123" s="2">
        <v>100.0</v>
      </c>
      <c r="AI123" s="2" t="s">
        <v>1271</v>
      </c>
      <c r="AJ123" s="2" t="s">
        <v>1272</v>
      </c>
      <c r="AK123" s="2">
        <v>53.9569299518854</v>
      </c>
      <c r="AL123" s="2">
        <v>9.53420159205546</v>
      </c>
      <c r="AM123" s="2" t="s">
        <v>55</v>
      </c>
      <c r="AN123" s="2">
        <v>1.359</v>
      </c>
      <c r="AO123" s="2" t="s">
        <v>36</v>
      </c>
      <c r="AP123" s="2">
        <v>0.00235849056603774</v>
      </c>
      <c r="AQ123" s="2">
        <v>0.997641509433962</v>
      </c>
      <c r="AR123" s="2">
        <v>0.997641509433962</v>
      </c>
      <c r="AS123" s="2">
        <v>4.0</v>
      </c>
    </row>
    <row r="124" ht="15.75" customHeight="1">
      <c r="A124" s="2">
        <v>15.0</v>
      </c>
      <c r="B124" s="2">
        <v>1386.457642</v>
      </c>
      <c r="C124" s="2">
        <v>204.0</v>
      </c>
      <c r="D124" s="2">
        <v>1522448.095</v>
      </c>
      <c r="E124" s="2">
        <v>5440545.968</v>
      </c>
      <c r="F124" s="2">
        <v>1386.457642</v>
      </c>
      <c r="G124" s="2" t="s">
        <v>142</v>
      </c>
      <c r="H124" s="2" t="s">
        <v>1273</v>
      </c>
      <c r="I124" s="2">
        <v>45392.0</v>
      </c>
      <c r="J124" s="2">
        <v>2.0</v>
      </c>
      <c r="K124" s="2" t="s">
        <v>36</v>
      </c>
      <c r="L124" s="2" t="s">
        <v>142</v>
      </c>
      <c r="M124" s="2">
        <v>3.0</v>
      </c>
      <c r="N124" s="2">
        <v>0.0</v>
      </c>
      <c r="O124" s="2">
        <v>0.0</v>
      </c>
      <c r="P124" s="2">
        <v>70.0</v>
      </c>
      <c r="Q124" s="2">
        <v>0.0</v>
      </c>
      <c r="R124" s="2">
        <v>0.0</v>
      </c>
      <c r="S124" s="2">
        <v>20.0</v>
      </c>
      <c r="T124" s="2">
        <v>0.0</v>
      </c>
      <c r="U124" s="2">
        <v>10.0</v>
      </c>
      <c r="V124" s="2">
        <v>0.0</v>
      </c>
      <c r="W124" s="2">
        <v>100.0</v>
      </c>
      <c r="X124" s="2">
        <v>40.0</v>
      </c>
      <c r="Y124" s="2">
        <v>60.0</v>
      </c>
      <c r="Z124" s="2">
        <v>0.0</v>
      </c>
      <c r="AA124" s="2">
        <v>0.0</v>
      </c>
      <c r="AB124" s="2">
        <v>0.0</v>
      </c>
      <c r="AC124" s="2">
        <v>0.0</v>
      </c>
      <c r="AD124" s="2">
        <v>0.0</v>
      </c>
      <c r="AE124" s="2">
        <v>204.0</v>
      </c>
      <c r="AF124" s="2">
        <v>5.0</v>
      </c>
      <c r="AG124" s="2">
        <v>30.0</v>
      </c>
      <c r="AH124" s="2">
        <v>60.0</v>
      </c>
      <c r="AI124" s="2" t="s">
        <v>1276</v>
      </c>
      <c r="AJ124" s="2" t="s">
        <v>1277</v>
      </c>
      <c r="AK124" s="2">
        <v>42.7029528980006</v>
      </c>
      <c r="AL124" s="2">
        <v>3.08255737999496</v>
      </c>
      <c r="AM124" s="2" t="s">
        <v>55</v>
      </c>
      <c r="AN124" s="2">
        <v>1.359</v>
      </c>
      <c r="AO124" s="2" t="s">
        <v>36</v>
      </c>
      <c r="AP124" s="2">
        <v>0.300943396226415</v>
      </c>
      <c r="AQ124" s="2">
        <v>0.599528301886792</v>
      </c>
      <c r="AR124" s="2">
        <v>0.00235849056603774</v>
      </c>
      <c r="AS124" s="2">
        <v>3.0</v>
      </c>
    </row>
    <row r="125" ht="15.75" customHeight="1">
      <c r="A125" s="2">
        <v>15.0</v>
      </c>
      <c r="B125" s="2">
        <v>1388.844604</v>
      </c>
      <c r="C125" s="2">
        <v>205.0</v>
      </c>
      <c r="D125" s="2">
        <v>1522449.372</v>
      </c>
      <c r="E125" s="2">
        <v>5440551.961</v>
      </c>
      <c r="F125" s="2">
        <v>1388.844604</v>
      </c>
      <c r="G125" s="2" t="s">
        <v>142</v>
      </c>
      <c r="H125" s="2" t="s">
        <v>1281</v>
      </c>
      <c r="I125" s="2">
        <v>45392.0</v>
      </c>
      <c r="J125" s="2">
        <v>3.0</v>
      </c>
      <c r="K125" s="2" t="s">
        <v>36</v>
      </c>
      <c r="L125" s="2" t="s">
        <v>142</v>
      </c>
      <c r="M125" s="2">
        <v>4.0</v>
      </c>
      <c r="N125" s="2">
        <v>0.0</v>
      </c>
      <c r="O125" s="2">
        <v>0.0</v>
      </c>
      <c r="P125" s="2">
        <v>100.0</v>
      </c>
      <c r="Q125" s="2">
        <v>0.0</v>
      </c>
      <c r="R125" s="2">
        <v>0.0</v>
      </c>
      <c r="S125" s="2">
        <v>0.0</v>
      </c>
      <c r="T125" s="2">
        <v>0.0</v>
      </c>
      <c r="U125" s="2">
        <v>0.0</v>
      </c>
      <c r="V125" s="2">
        <v>0.0</v>
      </c>
      <c r="W125" s="2">
        <v>100.0</v>
      </c>
      <c r="X125" s="2">
        <v>0.0</v>
      </c>
      <c r="Y125" s="2">
        <v>0.0</v>
      </c>
      <c r="Z125" s="2">
        <v>0.0</v>
      </c>
      <c r="AA125" s="2">
        <v>0.0</v>
      </c>
      <c r="AB125" s="2">
        <v>0.0</v>
      </c>
      <c r="AC125" s="2">
        <v>100.0</v>
      </c>
      <c r="AD125" s="2">
        <v>0.0</v>
      </c>
      <c r="AE125" s="2">
        <v>205.0</v>
      </c>
      <c r="AF125" s="2">
        <v>10.0</v>
      </c>
      <c r="AG125" s="2">
        <v>0.0</v>
      </c>
      <c r="AH125" s="2">
        <v>100.0</v>
      </c>
      <c r="AI125" s="2" t="s">
        <v>1284</v>
      </c>
      <c r="AJ125" s="2" t="s">
        <v>1285</v>
      </c>
      <c r="AK125" s="2">
        <v>37.0235693386174</v>
      </c>
      <c r="AL125" s="2">
        <v>4.50734911021635</v>
      </c>
      <c r="AM125" s="2" t="s">
        <v>55</v>
      </c>
      <c r="AN125" s="2">
        <v>1.359</v>
      </c>
      <c r="AO125" s="2" t="s">
        <v>36</v>
      </c>
      <c r="AP125" s="2">
        <v>0.00235849056603774</v>
      </c>
      <c r="AQ125" s="2">
        <v>0.997641509433962</v>
      </c>
      <c r="AR125" s="2">
        <v>0.00235849056603774</v>
      </c>
      <c r="AS125" s="2">
        <v>4.0</v>
      </c>
    </row>
    <row r="126" ht="15.75" customHeight="1">
      <c r="A126" s="2">
        <v>15.0</v>
      </c>
      <c r="B126" s="2">
        <v>1391.001587</v>
      </c>
      <c r="C126" s="2">
        <v>206.0</v>
      </c>
      <c r="D126" s="2">
        <v>1522449.324</v>
      </c>
      <c r="E126" s="2">
        <v>5440563.511</v>
      </c>
      <c r="F126" s="2">
        <v>1391.001587</v>
      </c>
      <c r="G126" s="2" t="s">
        <v>142</v>
      </c>
      <c r="H126" s="2" t="s">
        <v>1288</v>
      </c>
      <c r="I126" s="2">
        <v>45392.0</v>
      </c>
      <c r="J126" s="2">
        <v>4.0</v>
      </c>
      <c r="K126" s="2" t="s">
        <v>36</v>
      </c>
      <c r="L126" s="2" t="s">
        <v>142</v>
      </c>
      <c r="M126" s="2">
        <v>2.0</v>
      </c>
      <c r="N126" s="2">
        <v>0.0</v>
      </c>
      <c r="O126" s="2">
        <v>0.0</v>
      </c>
      <c r="P126" s="2">
        <v>50.0</v>
      </c>
      <c r="Q126" s="2">
        <v>0.0</v>
      </c>
      <c r="R126" s="2">
        <v>20.0</v>
      </c>
      <c r="S126" s="2">
        <v>30.0</v>
      </c>
      <c r="T126" s="2">
        <v>0.0</v>
      </c>
      <c r="U126" s="2">
        <v>0.0</v>
      </c>
      <c r="V126" s="2">
        <v>0.0</v>
      </c>
      <c r="W126" s="2">
        <v>100.0</v>
      </c>
      <c r="X126" s="2">
        <v>100.0</v>
      </c>
      <c r="Y126" s="2">
        <v>0.0</v>
      </c>
      <c r="Z126" s="2">
        <v>0.0</v>
      </c>
      <c r="AA126" s="2">
        <v>0.0</v>
      </c>
      <c r="AB126" s="2">
        <v>0.0</v>
      </c>
      <c r="AC126" s="2">
        <v>0.0</v>
      </c>
      <c r="AD126" s="2">
        <v>0.0</v>
      </c>
      <c r="AE126" s="2">
        <v>206.0</v>
      </c>
      <c r="AF126" s="2">
        <v>15.0</v>
      </c>
      <c r="AG126" s="2">
        <v>50.0</v>
      </c>
      <c r="AH126" s="2">
        <v>0.0</v>
      </c>
      <c r="AI126" s="2" t="s">
        <v>1292</v>
      </c>
      <c r="AJ126" s="2" t="s">
        <v>1294</v>
      </c>
      <c r="AK126" s="2">
        <v>28.5048136420168</v>
      </c>
      <c r="AL126" s="2">
        <v>8.81180713583259</v>
      </c>
      <c r="AM126" s="2" t="s">
        <v>55</v>
      </c>
      <c r="AN126" s="2">
        <v>1.359</v>
      </c>
      <c r="AO126" s="2" t="s">
        <v>36</v>
      </c>
      <c r="AP126" s="2">
        <v>0.5</v>
      </c>
      <c r="AQ126" s="2">
        <v>0.00235849056603774</v>
      </c>
      <c r="AR126" s="2">
        <v>0.00235849056603774</v>
      </c>
      <c r="AS126" s="2">
        <v>2.0</v>
      </c>
    </row>
    <row r="127" ht="15.75" customHeight="1">
      <c r="A127" s="2">
        <v>15.0</v>
      </c>
      <c r="B127" s="2">
        <v>1391.802246</v>
      </c>
      <c r="C127" s="2">
        <v>207.0</v>
      </c>
      <c r="D127" s="2">
        <v>1522455.859</v>
      </c>
      <c r="E127" s="2">
        <v>5440560.493</v>
      </c>
      <c r="F127" s="2">
        <v>1391.802246</v>
      </c>
      <c r="G127" s="2" t="s">
        <v>142</v>
      </c>
      <c r="H127" s="2" t="s">
        <v>1297</v>
      </c>
      <c r="I127" s="2">
        <v>45392.0</v>
      </c>
      <c r="J127" s="2">
        <v>5.0</v>
      </c>
      <c r="K127" s="2" t="s">
        <v>36</v>
      </c>
      <c r="L127" s="2" t="s">
        <v>142</v>
      </c>
      <c r="M127" s="2">
        <v>1.0</v>
      </c>
      <c r="N127" s="2">
        <v>50.0</v>
      </c>
      <c r="O127" s="2">
        <v>0.0</v>
      </c>
      <c r="P127" s="2">
        <v>0.0</v>
      </c>
      <c r="Q127" s="2">
        <v>0.0</v>
      </c>
      <c r="R127" s="2">
        <v>10.0</v>
      </c>
      <c r="S127" s="2">
        <v>20.0</v>
      </c>
      <c r="T127" s="2">
        <v>0.0</v>
      </c>
      <c r="U127" s="2">
        <v>20.0</v>
      </c>
      <c r="V127" s="2">
        <v>0.0</v>
      </c>
      <c r="W127" s="2">
        <v>100.0</v>
      </c>
      <c r="X127" s="2">
        <v>100.0</v>
      </c>
      <c r="Y127" s="2">
        <v>0.0</v>
      </c>
      <c r="Z127" s="2">
        <v>0.0</v>
      </c>
      <c r="AA127" s="2">
        <v>0.0</v>
      </c>
      <c r="AB127" s="2">
        <v>0.0</v>
      </c>
      <c r="AC127" s="2">
        <v>0.0</v>
      </c>
      <c r="AD127" s="2">
        <v>0.0</v>
      </c>
      <c r="AE127" s="2">
        <v>207.0</v>
      </c>
      <c r="AF127" s="2">
        <v>20.0</v>
      </c>
      <c r="AG127" s="2">
        <v>50.0</v>
      </c>
      <c r="AH127" s="2">
        <v>0.0</v>
      </c>
      <c r="AI127" s="2" t="s">
        <v>1300</v>
      </c>
      <c r="AJ127" s="2" t="s">
        <v>1302</v>
      </c>
      <c r="AK127" s="2">
        <v>26.3103782143936</v>
      </c>
      <c r="AL127" s="2">
        <v>10.0543032080288</v>
      </c>
      <c r="AM127" s="2" t="s">
        <v>55</v>
      </c>
      <c r="AN127" s="2">
        <v>1.359</v>
      </c>
      <c r="AO127" s="2" t="s">
        <v>36</v>
      </c>
      <c r="AP127" s="2">
        <v>0.5</v>
      </c>
      <c r="AQ127" s="2">
        <v>0.00235849056603774</v>
      </c>
      <c r="AR127" s="2">
        <v>0.5</v>
      </c>
      <c r="AS127" s="2">
        <v>1.0</v>
      </c>
    </row>
    <row r="128" ht="15.75" customHeight="1">
      <c r="A128" s="2">
        <v>15.0</v>
      </c>
      <c r="B128" s="2">
        <v>1393.743164</v>
      </c>
      <c r="C128" s="2">
        <v>208.0</v>
      </c>
      <c r="D128" s="2">
        <v>1522457.645</v>
      </c>
      <c r="E128" s="2">
        <v>5440568.595</v>
      </c>
      <c r="F128" s="2">
        <v>1393.743164</v>
      </c>
      <c r="G128" s="2" t="s">
        <v>142</v>
      </c>
      <c r="H128" s="2" t="s">
        <v>1305</v>
      </c>
      <c r="I128" s="2">
        <v>45392.0</v>
      </c>
      <c r="J128" s="2">
        <v>6.0</v>
      </c>
      <c r="K128" s="2" t="s">
        <v>36</v>
      </c>
      <c r="L128" s="2" t="s">
        <v>142</v>
      </c>
      <c r="M128" s="2">
        <v>1.0</v>
      </c>
      <c r="N128" s="2">
        <v>0.0</v>
      </c>
      <c r="O128" s="2">
        <v>0.0</v>
      </c>
      <c r="P128" s="2">
        <v>40.0</v>
      </c>
      <c r="Q128" s="2">
        <v>0.0</v>
      </c>
      <c r="R128" s="2">
        <v>0.0</v>
      </c>
      <c r="S128" s="2">
        <v>20.0</v>
      </c>
      <c r="T128" s="2">
        <v>0.0</v>
      </c>
      <c r="U128" s="2">
        <v>40.0</v>
      </c>
      <c r="V128" s="2">
        <v>0.0</v>
      </c>
      <c r="W128" s="2">
        <v>100.0</v>
      </c>
      <c r="X128" s="2">
        <v>100.0</v>
      </c>
      <c r="Y128" s="2">
        <v>0.0</v>
      </c>
      <c r="Z128" s="2">
        <v>0.0</v>
      </c>
      <c r="AA128" s="2">
        <v>0.0</v>
      </c>
      <c r="AB128" s="2">
        <v>0.0</v>
      </c>
      <c r="AC128" s="2">
        <v>0.0</v>
      </c>
      <c r="AD128" s="2">
        <v>0.0</v>
      </c>
      <c r="AE128" s="2">
        <v>208.0</v>
      </c>
      <c r="AF128" s="2">
        <v>25.0</v>
      </c>
      <c r="AG128" s="2">
        <v>60.0</v>
      </c>
      <c r="AH128" s="2">
        <v>0.0</v>
      </c>
      <c r="AI128" s="2" t="s">
        <v>1309</v>
      </c>
      <c r="AJ128" s="2" t="s">
        <v>1311</v>
      </c>
      <c r="AK128" s="2">
        <v>18.9348568496376</v>
      </c>
      <c r="AL128" s="2">
        <v>17.795596814952</v>
      </c>
      <c r="AM128" s="2" t="s">
        <v>55</v>
      </c>
      <c r="AN128" s="2">
        <v>1.359</v>
      </c>
      <c r="AO128" s="2" t="s">
        <v>36</v>
      </c>
      <c r="AP128" s="2">
        <v>0.599528301886792</v>
      </c>
      <c r="AQ128" s="2">
        <v>0.00235849056603774</v>
      </c>
      <c r="AR128" s="2">
        <v>0.00235849056603774</v>
      </c>
      <c r="AS128" s="2">
        <v>1.0</v>
      </c>
    </row>
    <row r="129" ht="15.75" customHeight="1">
      <c r="A129" s="2">
        <v>15.0</v>
      </c>
      <c r="B129" s="2">
        <v>1392.08667</v>
      </c>
      <c r="C129" s="2">
        <v>209.0</v>
      </c>
      <c r="D129" s="2">
        <v>1522471.194</v>
      </c>
      <c r="E129" s="2">
        <v>5440581.769</v>
      </c>
      <c r="F129" s="2">
        <v>1392.08667</v>
      </c>
      <c r="G129" s="2" t="s">
        <v>142</v>
      </c>
      <c r="H129" s="2" t="s">
        <v>1316</v>
      </c>
      <c r="I129" s="2">
        <v>45392.0</v>
      </c>
      <c r="J129" s="2">
        <v>7.0</v>
      </c>
      <c r="K129" s="2" t="s">
        <v>36</v>
      </c>
      <c r="L129" s="2" t="s">
        <v>142</v>
      </c>
      <c r="M129" s="2">
        <v>1.0</v>
      </c>
      <c r="N129" s="2">
        <v>0.0</v>
      </c>
      <c r="O129" s="2">
        <v>0.0</v>
      </c>
      <c r="P129" s="2">
        <v>40.0</v>
      </c>
      <c r="Q129" s="2">
        <v>0.0</v>
      </c>
      <c r="R129" s="2">
        <v>10.0</v>
      </c>
      <c r="S129" s="2">
        <v>30.0</v>
      </c>
      <c r="T129" s="2">
        <v>0.0</v>
      </c>
      <c r="U129" s="2">
        <v>20.0</v>
      </c>
      <c r="V129" s="2">
        <v>0.0</v>
      </c>
      <c r="W129" s="2">
        <v>100.0</v>
      </c>
      <c r="X129" s="2">
        <v>100.0</v>
      </c>
      <c r="Y129" s="2">
        <v>0.0</v>
      </c>
      <c r="Z129" s="2">
        <v>0.0</v>
      </c>
      <c r="AA129" s="2">
        <v>0.0</v>
      </c>
      <c r="AB129" s="2">
        <v>0.0</v>
      </c>
      <c r="AC129" s="2">
        <v>0.0</v>
      </c>
      <c r="AD129" s="2">
        <v>0.0</v>
      </c>
      <c r="AE129" s="2">
        <v>209.0</v>
      </c>
      <c r="AF129" s="2">
        <v>30.0</v>
      </c>
      <c r="AG129" s="2">
        <v>60.0</v>
      </c>
      <c r="AH129" s="2">
        <v>0.0</v>
      </c>
      <c r="AI129" s="2" t="s">
        <v>1321</v>
      </c>
      <c r="AJ129" s="2" t="s">
        <v>1323</v>
      </c>
      <c r="AK129" s="2">
        <v>0.0991679167641704</v>
      </c>
      <c r="AL129" s="2">
        <v>35.5682960657071</v>
      </c>
      <c r="AM129" s="2" t="s">
        <v>55</v>
      </c>
      <c r="AN129" s="2">
        <v>1.359</v>
      </c>
      <c r="AO129" s="2" t="s">
        <v>36</v>
      </c>
      <c r="AP129" s="2">
        <v>0.599528301886792</v>
      </c>
      <c r="AQ129" s="2">
        <v>0.00235849056603774</v>
      </c>
      <c r="AR129" s="2">
        <v>0.00235849056603774</v>
      </c>
      <c r="AS129" s="2">
        <v>1.0</v>
      </c>
    </row>
    <row r="130" ht="15.75" customHeight="1">
      <c r="A130" s="2">
        <v>15.0</v>
      </c>
      <c r="B130" s="2">
        <v>1393.429688</v>
      </c>
      <c r="C130" s="2">
        <v>210.0</v>
      </c>
      <c r="D130" s="2">
        <v>1522466.84</v>
      </c>
      <c r="E130" s="2">
        <v>5440584.892</v>
      </c>
      <c r="F130" s="2">
        <v>1393.429688</v>
      </c>
      <c r="G130" s="2" t="s">
        <v>142</v>
      </c>
      <c r="H130" s="2" t="s">
        <v>1328</v>
      </c>
      <c r="I130" s="2">
        <v>45392.0</v>
      </c>
      <c r="J130" s="2">
        <v>8.0</v>
      </c>
      <c r="K130" s="2" t="s">
        <v>36</v>
      </c>
      <c r="L130" s="2" t="s">
        <v>142</v>
      </c>
      <c r="M130" s="2">
        <v>2.0</v>
      </c>
      <c r="N130" s="2">
        <v>0.0</v>
      </c>
      <c r="O130" s="2">
        <v>0.0</v>
      </c>
      <c r="P130" s="2">
        <v>80.0</v>
      </c>
      <c r="Q130" s="2">
        <v>0.0</v>
      </c>
      <c r="R130" s="2">
        <v>10.0</v>
      </c>
      <c r="S130" s="2">
        <v>10.0</v>
      </c>
      <c r="T130" s="2">
        <v>0.0</v>
      </c>
      <c r="U130" s="2">
        <v>0.0</v>
      </c>
      <c r="V130" s="2">
        <v>0.0</v>
      </c>
      <c r="W130" s="2">
        <v>100.0</v>
      </c>
      <c r="X130" s="2">
        <v>100.0</v>
      </c>
      <c r="Y130" s="2">
        <v>0.0</v>
      </c>
      <c r="Z130" s="2">
        <v>0.0</v>
      </c>
      <c r="AA130" s="2">
        <v>0.0</v>
      </c>
      <c r="AB130" s="2">
        <v>0.0</v>
      </c>
      <c r="AC130" s="2">
        <v>0.0</v>
      </c>
      <c r="AD130" s="2">
        <v>0.0</v>
      </c>
      <c r="AE130" s="2">
        <v>210.0</v>
      </c>
      <c r="AF130" s="2">
        <v>35.0</v>
      </c>
      <c r="AG130" s="2">
        <v>20.0</v>
      </c>
      <c r="AH130" s="2">
        <v>0.0</v>
      </c>
      <c r="AI130" s="2" t="s">
        <v>1331</v>
      </c>
      <c r="AJ130" s="2" t="s">
        <v>1332</v>
      </c>
      <c r="AK130" s="2">
        <v>1.60695320890748</v>
      </c>
      <c r="AL130" s="2">
        <v>33.7504349604527</v>
      </c>
      <c r="AM130" s="2" t="s">
        <v>55</v>
      </c>
      <c r="AN130" s="2">
        <v>1.359</v>
      </c>
      <c r="AO130" s="2" t="s">
        <v>36</v>
      </c>
      <c r="AP130" s="2">
        <v>0.201415094339623</v>
      </c>
      <c r="AQ130" s="2">
        <v>0.00235849056603774</v>
      </c>
      <c r="AR130" s="2">
        <v>0.00235849056603774</v>
      </c>
      <c r="AS130" s="2">
        <v>2.0</v>
      </c>
    </row>
    <row r="131" ht="15.75" customHeight="1">
      <c r="A131" s="2">
        <v>15.0</v>
      </c>
      <c r="B131" s="2">
        <v>1395.092041</v>
      </c>
      <c r="C131" s="2">
        <v>211.0</v>
      </c>
      <c r="D131" s="2">
        <v>1522469.725</v>
      </c>
      <c r="E131" s="2">
        <v>5440595.323</v>
      </c>
      <c r="F131" s="2">
        <v>1395.092041</v>
      </c>
      <c r="G131" s="2" t="s">
        <v>142</v>
      </c>
      <c r="H131" s="2" t="s">
        <v>1335</v>
      </c>
      <c r="I131" s="2">
        <v>45392.0</v>
      </c>
      <c r="J131" s="2">
        <v>9.0</v>
      </c>
      <c r="K131" s="2" t="s">
        <v>36</v>
      </c>
      <c r="L131" s="2" t="s">
        <v>142</v>
      </c>
      <c r="M131" s="2">
        <v>4.0</v>
      </c>
      <c r="N131" s="2">
        <v>30.0</v>
      </c>
      <c r="O131" s="2">
        <v>0.0</v>
      </c>
      <c r="P131" s="2">
        <v>50.0</v>
      </c>
      <c r="Q131" s="2">
        <v>0.0</v>
      </c>
      <c r="R131" s="2">
        <v>0.0</v>
      </c>
      <c r="S131" s="2">
        <v>20.0</v>
      </c>
      <c r="T131" s="2">
        <v>0.0</v>
      </c>
      <c r="U131" s="2">
        <v>0.0</v>
      </c>
      <c r="V131" s="2">
        <v>0.0</v>
      </c>
      <c r="W131" s="2">
        <v>100.0</v>
      </c>
      <c r="X131" s="2">
        <v>70.0</v>
      </c>
      <c r="Y131" s="2">
        <v>0.0</v>
      </c>
      <c r="Z131" s="2">
        <v>0.0</v>
      </c>
      <c r="AA131" s="2">
        <v>30.0</v>
      </c>
      <c r="AB131" s="2">
        <v>0.0</v>
      </c>
      <c r="AC131" s="2">
        <v>0.0</v>
      </c>
      <c r="AD131" s="2">
        <v>0.0</v>
      </c>
      <c r="AE131" s="2">
        <v>211.0</v>
      </c>
      <c r="AF131" s="2">
        <v>40.0</v>
      </c>
      <c r="AG131" s="2">
        <v>20.0</v>
      </c>
      <c r="AH131" s="2">
        <v>30.0</v>
      </c>
      <c r="AI131" s="2" t="s">
        <v>1340</v>
      </c>
      <c r="AJ131" s="2" t="s">
        <v>1341</v>
      </c>
      <c r="AK131" s="2">
        <v>6.7621033306585</v>
      </c>
      <c r="AL131" s="2">
        <v>42.9971800240565</v>
      </c>
      <c r="AM131" s="2" t="s">
        <v>55</v>
      </c>
      <c r="AN131" s="2">
        <v>1.359</v>
      </c>
      <c r="AO131" s="2" t="s">
        <v>36</v>
      </c>
      <c r="AP131" s="2">
        <v>0.201415094339623</v>
      </c>
      <c r="AQ131" s="2">
        <v>0.300943396226415</v>
      </c>
      <c r="AR131" s="2">
        <v>0.300943396226415</v>
      </c>
      <c r="AS131" s="2">
        <v>4.0</v>
      </c>
    </row>
    <row r="132" ht="15.75" customHeight="1">
      <c r="A132" s="2">
        <v>15.0</v>
      </c>
      <c r="B132" s="2">
        <v>1397.621826</v>
      </c>
      <c r="C132" s="2">
        <v>212.0</v>
      </c>
      <c r="D132" s="2">
        <v>1522471.228</v>
      </c>
      <c r="E132" s="2">
        <v>5440593.097</v>
      </c>
      <c r="F132" s="2">
        <v>1397.621826</v>
      </c>
      <c r="G132" s="2" t="s">
        <v>142</v>
      </c>
      <c r="H132" s="2" t="s">
        <v>1344</v>
      </c>
      <c r="I132" s="2">
        <v>45392.0</v>
      </c>
      <c r="J132" s="2">
        <v>10.0</v>
      </c>
      <c r="K132" s="2" t="s">
        <v>36</v>
      </c>
      <c r="L132" s="2" t="s">
        <v>142</v>
      </c>
      <c r="M132" s="2">
        <v>4.0</v>
      </c>
      <c r="N132" s="2">
        <v>0.0</v>
      </c>
      <c r="O132" s="2">
        <v>0.0</v>
      </c>
      <c r="P132" s="2">
        <v>40.0</v>
      </c>
      <c r="Q132" s="2">
        <v>0.0</v>
      </c>
      <c r="R132" s="2">
        <v>20.0</v>
      </c>
      <c r="S132" s="2">
        <v>20.0</v>
      </c>
      <c r="T132" s="2">
        <v>0.0</v>
      </c>
      <c r="U132" s="2">
        <v>20.0</v>
      </c>
      <c r="V132" s="2">
        <v>0.0</v>
      </c>
      <c r="W132" s="2">
        <v>100.0</v>
      </c>
      <c r="X132" s="2">
        <v>60.0</v>
      </c>
      <c r="Y132" s="2">
        <v>0.0</v>
      </c>
      <c r="Z132" s="2">
        <v>0.0</v>
      </c>
      <c r="AA132" s="2">
        <v>40.0</v>
      </c>
      <c r="AB132" s="2">
        <v>0.0</v>
      </c>
      <c r="AC132" s="2">
        <v>0.0</v>
      </c>
      <c r="AD132" s="2">
        <v>0.0</v>
      </c>
      <c r="AE132" s="2">
        <v>212.0</v>
      </c>
      <c r="AF132" s="2">
        <v>45.0</v>
      </c>
      <c r="AG132" s="2">
        <v>60.0</v>
      </c>
      <c r="AH132" s="2">
        <v>40.0</v>
      </c>
      <c r="AI132" s="2" t="s">
        <v>1358</v>
      </c>
      <c r="AJ132" s="2" t="s">
        <v>1359</v>
      </c>
      <c r="AK132" s="2">
        <v>6.71681331499841</v>
      </c>
      <c r="AL132" s="2">
        <v>42.4652784403847</v>
      </c>
      <c r="AM132" s="2" t="s">
        <v>55</v>
      </c>
      <c r="AN132" s="2">
        <v>1.359</v>
      </c>
      <c r="AO132" s="2" t="s">
        <v>36</v>
      </c>
      <c r="AP132" s="2">
        <v>0.599528301886792</v>
      </c>
      <c r="AQ132" s="2">
        <v>0.400471698113208</v>
      </c>
      <c r="AR132" s="2">
        <v>0.00235849056603774</v>
      </c>
      <c r="AS132" s="2">
        <v>4.0</v>
      </c>
    </row>
    <row r="133" ht="15.75" customHeight="1">
      <c r="A133" s="2">
        <v>16.0</v>
      </c>
      <c r="B133" s="2">
        <v>1388.108276</v>
      </c>
      <c r="C133" s="2">
        <v>213.0</v>
      </c>
      <c r="D133" s="2">
        <v>1522684.994</v>
      </c>
      <c r="E133" s="2">
        <v>5440186.294</v>
      </c>
      <c r="F133" s="2">
        <v>1388.108276</v>
      </c>
      <c r="G133" s="2" t="s">
        <v>159</v>
      </c>
      <c r="H133" s="2" t="s">
        <v>1362</v>
      </c>
      <c r="I133" s="2">
        <v>45392.0</v>
      </c>
      <c r="J133" s="2">
        <v>1.0</v>
      </c>
      <c r="K133" s="2" t="s">
        <v>36</v>
      </c>
      <c r="L133" s="2" t="s">
        <v>159</v>
      </c>
      <c r="M133" s="2">
        <v>4.0</v>
      </c>
      <c r="N133" s="2">
        <v>0.0</v>
      </c>
      <c r="O133" s="2">
        <v>0.0</v>
      </c>
      <c r="P133" s="2">
        <v>90.0</v>
      </c>
      <c r="Q133" s="2">
        <v>0.0</v>
      </c>
      <c r="R133" s="2">
        <v>0.0</v>
      </c>
      <c r="S133" s="2">
        <v>0.0</v>
      </c>
      <c r="T133" s="2">
        <v>0.0</v>
      </c>
      <c r="U133" s="2">
        <v>10.0</v>
      </c>
      <c r="V133" s="2">
        <v>0.0</v>
      </c>
      <c r="W133" s="2">
        <v>100.0</v>
      </c>
      <c r="X133" s="2">
        <v>0.0</v>
      </c>
      <c r="Y133" s="2">
        <v>0.0</v>
      </c>
      <c r="Z133" s="2">
        <v>0.0</v>
      </c>
      <c r="AA133" s="2">
        <v>0.0</v>
      </c>
      <c r="AB133" s="2">
        <v>0.0</v>
      </c>
      <c r="AC133" s="2">
        <v>100.0</v>
      </c>
      <c r="AD133" s="2">
        <v>0.0</v>
      </c>
      <c r="AE133" s="2">
        <v>213.0</v>
      </c>
      <c r="AF133" s="2">
        <v>0.0</v>
      </c>
      <c r="AG133" s="2">
        <v>10.0</v>
      </c>
      <c r="AH133" s="2">
        <v>100.0</v>
      </c>
      <c r="AI133" s="2" t="s">
        <v>1367</v>
      </c>
      <c r="AJ133" s="2" t="s">
        <v>1369</v>
      </c>
      <c r="AK133" s="2">
        <v>4.18866216511015</v>
      </c>
      <c r="AL133" s="2">
        <v>4.83177503607652</v>
      </c>
      <c r="AM133" s="2" t="s">
        <v>55</v>
      </c>
      <c r="AN133" s="2">
        <v>1.162</v>
      </c>
      <c r="AO133" s="2" t="s">
        <v>36</v>
      </c>
      <c r="AP133" s="2">
        <v>0.10188679245283</v>
      </c>
      <c r="AQ133" s="2">
        <v>0.997641509433962</v>
      </c>
      <c r="AR133" s="2">
        <v>0.00235849056603774</v>
      </c>
      <c r="AS133" s="2">
        <v>4.0</v>
      </c>
    </row>
    <row r="134" ht="15.75" customHeight="1">
      <c r="A134" s="2">
        <v>16.0</v>
      </c>
      <c r="B134" s="2">
        <v>1397.138062</v>
      </c>
      <c r="C134" s="2">
        <v>214.0</v>
      </c>
      <c r="D134" s="2">
        <v>1522688.905</v>
      </c>
      <c r="E134" s="2">
        <v>5440175.953</v>
      </c>
      <c r="F134" s="2">
        <v>1397.138062</v>
      </c>
      <c r="G134" s="2" t="s">
        <v>159</v>
      </c>
      <c r="H134" s="2" t="s">
        <v>1370</v>
      </c>
      <c r="I134" s="2">
        <v>45392.0</v>
      </c>
      <c r="J134" s="2">
        <v>2.0</v>
      </c>
      <c r="K134" s="2" t="s">
        <v>36</v>
      </c>
      <c r="L134" s="2" t="s">
        <v>159</v>
      </c>
      <c r="M134" s="2">
        <v>4.0</v>
      </c>
      <c r="N134" s="2">
        <v>90.0</v>
      </c>
      <c r="O134" s="2">
        <v>0.0</v>
      </c>
      <c r="P134" s="2">
        <v>10.0</v>
      </c>
      <c r="Q134" s="2">
        <v>0.0</v>
      </c>
      <c r="R134" s="2">
        <v>0.0</v>
      </c>
      <c r="S134" s="2">
        <v>0.0</v>
      </c>
      <c r="T134" s="2">
        <v>0.0</v>
      </c>
      <c r="U134" s="2">
        <v>0.0</v>
      </c>
      <c r="V134" s="2">
        <v>0.0</v>
      </c>
      <c r="W134" s="2">
        <v>100.0</v>
      </c>
      <c r="X134" s="2">
        <v>0.0</v>
      </c>
      <c r="Y134" s="2">
        <v>0.0</v>
      </c>
      <c r="Z134" s="2">
        <v>0.0</v>
      </c>
      <c r="AA134" s="2">
        <v>0.0</v>
      </c>
      <c r="AB134" s="2">
        <v>0.0</v>
      </c>
      <c r="AC134" s="2">
        <v>100.0</v>
      </c>
      <c r="AD134" s="2">
        <v>0.0</v>
      </c>
      <c r="AE134" s="2">
        <v>214.0</v>
      </c>
      <c r="AF134" s="2">
        <v>5.0</v>
      </c>
      <c r="AG134" s="2">
        <v>0.0</v>
      </c>
      <c r="AH134" s="2">
        <v>100.0</v>
      </c>
      <c r="AI134" s="2" t="s">
        <v>1376</v>
      </c>
      <c r="AJ134" s="2" t="s">
        <v>1377</v>
      </c>
      <c r="AK134" s="2">
        <v>9.97297766965641</v>
      </c>
      <c r="AL134" s="2">
        <v>3.91703165652887</v>
      </c>
      <c r="AM134" s="2" t="s">
        <v>55</v>
      </c>
      <c r="AN134" s="2">
        <v>1.162</v>
      </c>
      <c r="AO134" s="2" t="s">
        <v>36</v>
      </c>
      <c r="AP134" s="2">
        <v>0.00235849056603774</v>
      </c>
      <c r="AQ134" s="2">
        <v>0.997641509433962</v>
      </c>
      <c r="AR134" s="2">
        <v>0.89811320754717</v>
      </c>
      <c r="AS134" s="2">
        <v>4.0</v>
      </c>
    </row>
    <row r="135" ht="15.75" customHeight="1">
      <c r="A135" s="2">
        <v>16.0</v>
      </c>
      <c r="B135" s="2">
        <v>1396.722534</v>
      </c>
      <c r="C135" s="2">
        <v>215.0</v>
      </c>
      <c r="D135" s="2">
        <v>1522693.854</v>
      </c>
      <c r="E135" s="2">
        <v>5440175.493</v>
      </c>
      <c r="F135" s="2">
        <v>1396.722534</v>
      </c>
      <c r="G135" s="2" t="s">
        <v>159</v>
      </c>
      <c r="H135" s="2" t="s">
        <v>1381</v>
      </c>
      <c r="I135" s="2">
        <v>45392.0</v>
      </c>
      <c r="J135" s="2">
        <v>3.0</v>
      </c>
      <c r="K135" s="2" t="s">
        <v>36</v>
      </c>
      <c r="L135" s="2" t="s">
        <v>159</v>
      </c>
      <c r="M135" s="2">
        <v>4.0</v>
      </c>
      <c r="N135" s="2">
        <v>80.0</v>
      </c>
      <c r="O135" s="2">
        <v>0.0</v>
      </c>
      <c r="P135" s="2">
        <v>20.0</v>
      </c>
      <c r="Q135" s="2">
        <v>0.0</v>
      </c>
      <c r="R135" s="2">
        <v>0.0</v>
      </c>
      <c r="S135" s="2">
        <v>0.0</v>
      </c>
      <c r="T135" s="2">
        <v>0.0</v>
      </c>
      <c r="U135" s="2">
        <v>0.0</v>
      </c>
      <c r="V135" s="2">
        <v>0.0</v>
      </c>
      <c r="W135" s="2">
        <v>100.0</v>
      </c>
      <c r="X135" s="2">
        <v>0.0</v>
      </c>
      <c r="Y135" s="2">
        <v>0.0</v>
      </c>
      <c r="Z135" s="2">
        <v>0.0</v>
      </c>
      <c r="AA135" s="2">
        <v>0.0</v>
      </c>
      <c r="AB135" s="2">
        <v>0.0</v>
      </c>
      <c r="AC135" s="2">
        <v>100.0</v>
      </c>
      <c r="AD135" s="2">
        <v>0.0</v>
      </c>
      <c r="AE135" s="2">
        <v>215.0</v>
      </c>
      <c r="AF135" s="2">
        <v>10.0</v>
      </c>
      <c r="AG135" s="2">
        <v>0.0</v>
      </c>
      <c r="AH135" s="2">
        <v>100.0</v>
      </c>
      <c r="AI135" s="2" t="s">
        <v>1385</v>
      </c>
      <c r="AJ135" s="2" t="s">
        <v>1386</v>
      </c>
      <c r="AK135" s="2">
        <v>8.39334258203936</v>
      </c>
      <c r="AL135" s="2">
        <v>2.57853369164417</v>
      </c>
      <c r="AM135" s="2" t="s">
        <v>55</v>
      </c>
      <c r="AN135" s="2">
        <v>1.162</v>
      </c>
      <c r="AO135" s="2" t="s">
        <v>36</v>
      </c>
      <c r="AP135" s="2">
        <v>0.00235849056603774</v>
      </c>
      <c r="AQ135" s="2">
        <v>0.997641509433962</v>
      </c>
      <c r="AR135" s="2">
        <v>0.798584905660377</v>
      </c>
      <c r="AS135" s="2">
        <v>4.0</v>
      </c>
    </row>
    <row r="136" ht="15.75" customHeight="1">
      <c r="A136" s="2">
        <v>16.0</v>
      </c>
      <c r="B136" s="2">
        <v>1397.183472</v>
      </c>
      <c r="C136" s="2">
        <v>216.0</v>
      </c>
      <c r="D136" s="2">
        <v>1522696.432</v>
      </c>
      <c r="E136" s="2">
        <v>5440168.377</v>
      </c>
      <c r="F136" s="2">
        <v>1397.183472</v>
      </c>
      <c r="G136" s="2" t="s">
        <v>159</v>
      </c>
      <c r="H136" s="2" t="s">
        <v>1387</v>
      </c>
      <c r="I136" s="2">
        <v>45392.0</v>
      </c>
      <c r="J136" s="2">
        <v>4.0</v>
      </c>
      <c r="K136" s="2" t="s">
        <v>36</v>
      </c>
      <c r="L136" s="2" t="s">
        <v>159</v>
      </c>
      <c r="M136" s="2">
        <v>3.0</v>
      </c>
      <c r="N136" s="2">
        <v>25.0</v>
      </c>
      <c r="O136" s="2">
        <v>0.0</v>
      </c>
      <c r="P136" s="2">
        <v>70.0</v>
      </c>
      <c r="Q136" s="2">
        <v>0.0</v>
      </c>
      <c r="R136" s="2">
        <v>0.0</v>
      </c>
      <c r="S136" s="2">
        <v>0.0</v>
      </c>
      <c r="T136" s="2">
        <v>0.0</v>
      </c>
      <c r="U136" s="2">
        <v>5.0</v>
      </c>
      <c r="V136" s="2">
        <v>0.0</v>
      </c>
      <c r="W136" s="2">
        <v>100.0</v>
      </c>
      <c r="X136" s="2">
        <v>0.0</v>
      </c>
      <c r="Y136" s="2">
        <v>0.0</v>
      </c>
      <c r="Z136" s="2">
        <v>0.0</v>
      </c>
      <c r="AA136" s="2">
        <v>0.0</v>
      </c>
      <c r="AB136" s="2">
        <v>0.0</v>
      </c>
      <c r="AC136" s="2">
        <v>100.0</v>
      </c>
      <c r="AD136" s="2">
        <v>0.0</v>
      </c>
      <c r="AE136" s="2">
        <v>216.0</v>
      </c>
      <c r="AF136" s="2">
        <v>15.0</v>
      </c>
      <c r="AG136" s="2">
        <v>5.0</v>
      </c>
      <c r="AH136" s="2">
        <v>100.0</v>
      </c>
      <c r="AI136" s="2" t="s">
        <v>1391</v>
      </c>
      <c r="AJ136" s="2" t="s">
        <v>1392</v>
      </c>
      <c r="AK136" s="2">
        <v>14.5257834384403</v>
      </c>
      <c r="AL136" s="2">
        <v>6.83717953529049</v>
      </c>
      <c r="AM136" s="2" t="s">
        <v>55</v>
      </c>
      <c r="AN136" s="2">
        <v>1.162</v>
      </c>
      <c r="AO136" s="2" t="s">
        <v>36</v>
      </c>
      <c r="AP136" s="2">
        <v>0.052122641509434</v>
      </c>
      <c r="AQ136" s="2">
        <v>0.997641509433962</v>
      </c>
      <c r="AR136" s="2">
        <v>0.251179245283019</v>
      </c>
      <c r="AS136" s="2">
        <v>3.0</v>
      </c>
    </row>
    <row r="137" ht="15.75" customHeight="1">
      <c r="A137" s="2">
        <v>16.0</v>
      </c>
      <c r="B137" s="2">
        <v>1396.760864</v>
      </c>
      <c r="C137" s="2">
        <v>217.0</v>
      </c>
      <c r="D137" s="2">
        <v>1522696.681</v>
      </c>
      <c r="E137" s="2">
        <v>5440167.599</v>
      </c>
      <c r="F137" s="2">
        <v>1396.760864</v>
      </c>
      <c r="G137" s="2" t="s">
        <v>159</v>
      </c>
      <c r="H137" s="2" t="s">
        <v>1395</v>
      </c>
      <c r="I137" s="2">
        <v>45392.0</v>
      </c>
      <c r="J137" s="2">
        <v>5.0</v>
      </c>
      <c r="K137" s="2" t="s">
        <v>36</v>
      </c>
      <c r="L137" s="2" t="s">
        <v>159</v>
      </c>
      <c r="M137" s="2">
        <v>4.0</v>
      </c>
      <c r="N137" s="2">
        <v>20.0</v>
      </c>
      <c r="O137" s="2">
        <v>0.0</v>
      </c>
      <c r="P137" s="2">
        <v>80.0</v>
      </c>
      <c r="Q137" s="2">
        <v>0.0</v>
      </c>
      <c r="R137" s="2">
        <v>0.0</v>
      </c>
      <c r="S137" s="2">
        <v>0.0</v>
      </c>
      <c r="T137" s="2">
        <v>0.0</v>
      </c>
      <c r="U137" s="2">
        <v>0.0</v>
      </c>
      <c r="V137" s="2">
        <v>0.0</v>
      </c>
      <c r="W137" s="2">
        <v>100.0</v>
      </c>
      <c r="X137" s="2">
        <v>0.0</v>
      </c>
      <c r="Y137" s="2">
        <v>0.0</v>
      </c>
      <c r="Z137" s="2">
        <v>0.0</v>
      </c>
      <c r="AA137" s="2">
        <v>0.0</v>
      </c>
      <c r="AB137" s="2">
        <v>0.0</v>
      </c>
      <c r="AC137" s="2">
        <v>100.0</v>
      </c>
      <c r="AD137" s="2">
        <v>0.0</v>
      </c>
      <c r="AE137" s="2">
        <v>217.0</v>
      </c>
      <c r="AF137" s="2">
        <v>20.0</v>
      </c>
      <c r="AG137" s="2">
        <v>0.0</v>
      </c>
      <c r="AH137" s="2">
        <v>100.0</v>
      </c>
      <c r="AI137" s="2" t="s">
        <v>1398</v>
      </c>
      <c r="AJ137" s="2" t="s">
        <v>1399</v>
      </c>
      <c r="AK137" s="2">
        <v>15.2743990848724</v>
      </c>
      <c r="AL137" s="2">
        <v>7.60092974558259</v>
      </c>
      <c r="AM137" s="2" t="s">
        <v>55</v>
      </c>
      <c r="AN137" s="2">
        <v>1.162</v>
      </c>
      <c r="AO137" s="2" t="s">
        <v>36</v>
      </c>
      <c r="AP137" s="2">
        <v>0.00235849056603774</v>
      </c>
      <c r="AQ137" s="2">
        <v>0.997641509433962</v>
      </c>
      <c r="AR137" s="2">
        <v>0.201415094339623</v>
      </c>
      <c r="AS137" s="2">
        <v>4.0</v>
      </c>
    </row>
    <row r="138" ht="15.75" customHeight="1">
      <c r="A138" s="2">
        <v>16.0</v>
      </c>
      <c r="B138" s="2">
        <v>1399.459595</v>
      </c>
      <c r="C138" s="2">
        <v>218.0</v>
      </c>
      <c r="D138" s="2">
        <v>1522705.993</v>
      </c>
      <c r="E138" s="2">
        <v>5440167.459</v>
      </c>
      <c r="F138" s="2">
        <v>1399.459595</v>
      </c>
      <c r="G138" s="2" t="s">
        <v>159</v>
      </c>
      <c r="H138" s="2" t="s">
        <v>1405</v>
      </c>
      <c r="I138" s="2">
        <v>45392.0</v>
      </c>
      <c r="J138" s="2">
        <v>6.0</v>
      </c>
      <c r="K138" s="2" t="s">
        <v>36</v>
      </c>
      <c r="L138" s="2" t="s">
        <v>159</v>
      </c>
      <c r="M138" s="2">
        <v>4.0</v>
      </c>
      <c r="N138" s="2">
        <v>0.0</v>
      </c>
      <c r="O138" s="2">
        <v>0.0</v>
      </c>
      <c r="P138" s="2">
        <v>100.0</v>
      </c>
      <c r="Q138" s="2">
        <v>0.0</v>
      </c>
      <c r="R138" s="2">
        <v>0.0</v>
      </c>
      <c r="S138" s="2">
        <v>0.0</v>
      </c>
      <c r="T138" s="2">
        <v>0.0</v>
      </c>
      <c r="U138" s="2">
        <v>0.0</v>
      </c>
      <c r="V138" s="2">
        <v>0.0</v>
      </c>
      <c r="W138" s="2">
        <v>100.0</v>
      </c>
      <c r="X138" s="2">
        <v>100.0</v>
      </c>
      <c r="Y138" s="2">
        <v>0.0</v>
      </c>
      <c r="Z138" s="2">
        <v>0.0</v>
      </c>
      <c r="AA138" s="2">
        <v>0.0</v>
      </c>
      <c r="AB138" s="2">
        <v>0.0</v>
      </c>
      <c r="AC138" s="2">
        <v>0.0</v>
      </c>
      <c r="AD138" s="2">
        <v>100.0</v>
      </c>
      <c r="AE138" s="2">
        <v>218.0</v>
      </c>
      <c r="AF138" s="2">
        <v>25.0</v>
      </c>
      <c r="AG138" s="2">
        <v>0.0</v>
      </c>
      <c r="AH138" s="2">
        <v>0.0</v>
      </c>
      <c r="AI138" s="2" t="s">
        <v>1410</v>
      </c>
      <c r="AJ138" s="2" t="s">
        <v>1412</v>
      </c>
      <c r="AK138" s="2">
        <v>17.2746365794673</v>
      </c>
      <c r="AL138" s="2">
        <v>7.61364859932254</v>
      </c>
      <c r="AM138" s="2" t="s">
        <v>55</v>
      </c>
      <c r="AN138" s="2">
        <v>1.162</v>
      </c>
      <c r="AO138" s="2" t="s">
        <v>36</v>
      </c>
      <c r="AP138" s="2">
        <v>0.00235849056603774</v>
      </c>
      <c r="AQ138" s="2">
        <v>0.00235849056603774</v>
      </c>
      <c r="AR138" s="2">
        <v>0.00235849056603774</v>
      </c>
      <c r="AS138" s="2">
        <v>4.0</v>
      </c>
    </row>
    <row r="139" ht="15.75" customHeight="1">
      <c r="A139" s="2">
        <v>16.0</v>
      </c>
      <c r="B139" s="2">
        <v>1396.762451</v>
      </c>
      <c r="C139" s="2">
        <v>219.0</v>
      </c>
      <c r="D139" s="2">
        <v>1522707.65</v>
      </c>
      <c r="E139" s="2">
        <v>5440160.902</v>
      </c>
      <c r="F139" s="2">
        <v>1396.762451</v>
      </c>
      <c r="G139" s="2" t="s">
        <v>159</v>
      </c>
      <c r="H139" s="2" t="s">
        <v>1414</v>
      </c>
      <c r="I139" s="2">
        <v>45392.0</v>
      </c>
      <c r="J139" s="2">
        <v>7.0</v>
      </c>
      <c r="K139" s="2" t="s">
        <v>36</v>
      </c>
      <c r="L139" s="2" t="s">
        <v>159</v>
      </c>
      <c r="M139" s="2">
        <v>2.0</v>
      </c>
      <c r="N139" s="2">
        <v>0.0</v>
      </c>
      <c r="O139" s="2">
        <v>0.0</v>
      </c>
      <c r="P139" s="2">
        <v>50.0</v>
      </c>
      <c r="Q139" s="2">
        <v>0.0</v>
      </c>
      <c r="R139" s="2">
        <v>0.0</v>
      </c>
      <c r="S139" s="2">
        <v>0.0</v>
      </c>
      <c r="T139" s="2">
        <v>0.0</v>
      </c>
      <c r="U139" s="2">
        <v>50.0</v>
      </c>
      <c r="V139" s="2">
        <v>0.0</v>
      </c>
      <c r="W139" s="2">
        <v>100.0</v>
      </c>
      <c r="X139" s="2">
        <v>80.0</v>
      </c>
      <c r="Y139" s="2">
        <v>0.0</v>
      </c>
      <c r="Z139" s="2">
        <v>0.0</v>
      </c>
      <c r="AA139" s="2">
        <v>20.0</v>
      </c>
      <c r="AB139" s="2">
        <v>0.0</v>
      </c>
      <c r="AC139" s="2">
        <v>0.0</v>
      </c>
      <c r="AD139" s="2">
        <v>0.0</v>
      </c>
      <c r="AE139" s="2">
        <v>219.0</v>
      </c>
      <c r="AF139" s="2">
        <v>30.0</v>
      </c>
      <c r="AG139" s="2">
        <v>50.0</v>
      </c>
      <c r="AH139" s="2">
        <v>20.0</v>
      </c>
      <c r="AI139" s="2" t="s">
        <v>1421</v>
      </c>
      <c r="AJ139" s="2" t="s">
        <v>1422</v>
      </c>
      <c r="AK139" s="2">
        <v>23.9106679412225</v>
      </c>
      <c r="AL139" s="2">
        <v>1.032233015935</v>
      </c>
      <c r="AM139" s="2" t="s">
        <v>55</v>
      </c>
      <c r="AN139" s="2">
        <v>1.162</v>
      </c>
      <c r="AO139" s="2" t="s">
        <v>36</v>
      </c>
      <c r="AP139" s="2">
        <v>0.5</v>
      </c>
      <c r="AQ139" s="2">
        <v>0.201415094339623</v>
      </c>
      <c r="AR139" s="2">
        <v>0.00235849056603774</v>
      </c>
      <c r="AS139" s="2">
        <v>2.0</v>
      </c>
    </row>
    <row r="140" ht="15.75" customHeight="1">
      <c r="A140" s="2">
        <v>16.0</v>
      </c>
      <c r="B140" s="2">
        <v>1395.726562</v>
      </c>
      <c r="C140" s="2">
        <v>220.0</v>
      </c>
      <c r="D140" s="2">
        <v>1522709.407</v>
      </c>
      <c r="E140" s="2">
        <v>5440159.119</v>
      </c>
      <c r="F140" s="2">
        <v>1395.726562</v>
      </c>
      <c r="G140" s="2" t="s">
        <v>159</v>
      </c>
      <c r="H140" s="2" t="s">
        <v>1425</v>
      </c>
      <c r="I140" s="2">
        <v>45392.0</v>
      </c>
      <c r="J140" s="2">
        <v>8.0</v>
      </c>
      <c r="K140" s="2" t="s">
        <v>36</v>
      </c>
      <c r="L140" s="2" t="s">
        <v>159</v>
      </c>
      <c r="M140" s="2">
        <v>4.0</v>
      </c>
      <c r="N140" s="2">
        <v>0.0</v>
      </c>
      <c r="O140" s="2">
        <v>0.0</v>
      </c>
      <c r="P140" s="2">
        <v>100.0</v>
      </c>
      <c r="Q140" s="2">
        <v>0.0</v>
      </c>
      <c r="R140" s="2">
        <v>0.0</v>
      </c>
      <c r="S140" s="2">
        <v>0.0</v>
      </c>
      <c r="T140" s="2">
        <v>0.0</v>
      </c>
      <c r="U140" s="2">
        <v>0.0</v>
      </c>
      <c r="V140" s="2">
        <v>0.0</v>
      </c>
      <c r="W140" s="2">
        <v>100.0</v>
      </c>
      <c r="X140" s="2">
        <v>0.0</v>
      </c>
      <c r="Y140" s="2">
        <v>0.0</v>
      </c>
      <c r="Z140" s="2">
        <v>0.0</v>
      </c>
      <c r="AA140" s="2">
        <v>0.0</v>
      </c>
      <c r="AB140" s="2">
        <v>0.0</v>
      </c>
      <c r="AC140" s="2">
        <v>100.0</v>
      </c>
      <c r="AD140" s="2">
        <v>0.0</v>
      </c>
      <c r="AE140" s="2">
        <v>220.0</v>
      </c>
      <c r="AF140" s="2">
        <v>35.0</v>
      </c>
      <c r="AG140" s="2">
        <v>0.0</v>
      </c>
      <c r="AH140" s="2">
        <v>100.0</v>
      </c>
      <c r="AI140" s="2" t="s">
        <v>1433</v>
      </c>
      <c r="AJ140" s="2" t="s">
        <v>1434</v>
      </c>
      <c r="AK140" s="2">
        <v>26.2634921924966</v>
      </c>
      <c r="AL140" s="2">
        <v>2.31060533198977</v>
      </c>
      <c r="AM140" s="2" t="s">
        <v>55</v>
      </c>
      <c r="AN140" s="2">
        <v>1.162</v>
      </c>
      <c r="AO140" s="2" t="s">
        <v>36</v>
      </c>
      <c r="AP140" s="2">
        <v>0.00235849056603774</v>
      </c>
      <c r="AQ140" s="2">
        <v>0.997641509433962</v>
      </c>
      <c r="AR140" s="2">
        <v>0.00235849056603774</v>
      </c>
      <c r="AS140" s="2">
        <v>4.0</v>
      </c>
    </row>
    <row r="141" ht="15.75" customHeight="1">
      <c r="A141" s="2">
        <v>16.0</v>
      </c>
      <c r="B141" s="2">
        <v>1396.084717</v>
      </c>
      <c r="C141" s="2">
        <v>221.0</v>
      </c>
      <c r="D141" s="2">
        <v>1522714.176</v>
      </c>
      <c r="E141" s="2">
        <v>5440155.217</v>
      </c>
      <c r="F141" s="2">
        <v>1396.084717</v>
      </c>
      <c r="G141" s="2" t="s">
        <v>159</v>
      </c>
      <c r="H141" s="2" t="s">
        <v>1435</v>
      </c>
      <c r="I141" s="2">
        <v>45392.0</v>
      </c>
      <c r="J141" s="2">
        <v>9.0</v>
      </c>
      <c r="K141" s="2" t="s">
        <v>36</v>
      </c>
      <c r="L141" s="2" t="s">
        <v>159</v>
      </c>
      <c r="M141" s="2">
        <v>2.0</v>
      </c>
      <c r="N141" s="2">
        <v>0.0</v>
      </c>
      <c r="O141" s="2">
        <v>0.0</v>
      </c>
      <c r="P141" s="2">
        <v>80.0</v>
      </c>
      <c r="Q141" s="2">
        <v>0.0</v>
      </c>
      <c r="R141" s="2">
        <v>0.0</v>
      </c>
      <c r="S141" s="2">
        <v>0.0</v>
      </c>
      <c r="T141" s="2">
        <v>0.0</v>
      </c>
      <c r="U141" s="2">
        <v>20.0</v>
      </c>
      <c r="V141" s="2">
        <v>0.0</v>
      </c>
      <c r="W141" s="2">
        <v>100.0</v>
      </c>
      <c r="X141" s="2">
        <v>80.0</v>
      </c>
      <c r="Y141" s="2">
        <v>0.0</v>
      </c>
      <c r="Z141" s="2">
        <v>0.0</v>
      </c>
      <c r="AA141" s="2">
        <v>20.0</v>
      </c>
      <c r="AB141" s="2">
        <v>0.0</v>
      </c>
      <c r="AC141" s="2">
        <v>0.0</v>
      </c>
      <c r="AD141" s="2">
        <v>0.0</v>
      </c>
      <c r="AE141" s="2">
        <v>221.0</v>
      </c>
      <c r="AF141" s="2">
        <v>40.0</v>
      </c>
      <c r="AG141" s="2">
        <v>20.0</v>
      </c>
      <c r="AH141" s="2">
        <v>20.0</v>
      </c>
      <c r="AI141" s="2" t="s">
        <v>1447</v>
      </c>
      <c r="AJ141" s="2" t="s">
        <v>1448</v>
      </c>
      <c r="AK141" s="2">
        <v>31.9491487672614</v>
      </c>
      <c r="AL141" s="2">
        <v>7.78203598037712</v>
      </c>
      <c r="AM141" s="2" t="s">
        <v>55</v>
      </c>
      <c r="AN141" s="2">
        <v>1.162</v>
      </c>
      <c r="AO141" s="2" t="s">
        <v>36</v>
      </c>
      <c r="AP141" s="2">
        <v>0.201415094339623</v>
      </c>
      <c r="AQ141" s="2">
        <v>0.201415094339623</v>
      </c>
      <c r="AR141" s="2">
        <v>0.00235849056603774</v>
      </c>
      <c r="AS141" s="2">
        <v>2.0</v>
      </c>
    </row>
    <row r="142" ht="15.75" customHeight="1">
      <c r="A142" s="2">
        <v>16.0</v>
      </c>
      <c r="B142" s="2">
        <v>1395.122559</v>
      </c>
      <c r="C142" s="2">
        <v>222.0</v>
      </c>
      <c r="D142" s="2">
        <v>1522715.984</v>
      </c>
      <c r="E142" s="2">
        <v>5440142.995</v>
      </c>
      <c r="F142" s="2">
        <v>1395.122559</v>
      </c>
      <c r="G142" s="2" t="s">
        <v>159</v>
      </c>
      <c r="H142" s="2" t="s">
        <v>1454</v>
      </c>
      <c r="I142" s="2">
        <v>45392.0</v>
      </c>
      <c r="J142" s="2">
        <v>10.0</v>
      </c>
      <c r="K142" s="2" t="s">
        <v>36</v>
      </c>
      <c r="L142" s="2" t="s">
        <v>159</v>
      </c>
      <c r="M142" s="2">
        <v>2.0</v>
      </c>
      <c r="N142" s="2">
        <v>0.0</v>
      </c>
      <c r="O142" s="2">
        <v>0.0</v>
      </c>
      <c r="P142" s="2">
        <v>80.0</v>
      </c>
      <c r="Q142" s="2">
        <v>10.0</v>
      </c>
      <c r="R142" s="2">
        <v>0.0</v>
      </c>
      <c r="S142" s="2">
        <v>0.0</v>
      </c>
      <c r="T142" s="2">
        <v>0.0</v>
      </c>
      <c r="U142" s="2">
        <v>10.0</v>
      </c>
      <c r="V142" s="2">
        <v>0.0</v>
      </c>
      <c r="W142" s="2">
        <v>100.0</v>
      </c>
      <c r="X142" s="2">
        <v>80.0</v>
      </c>
      <c r="Y142" s="2">
        <v>0.0</v>
      </c>
      <c r="Z142" s="2">
        <v>0.0</v>
      </c>
      <c r="AA142" s="2">
        <v>20.0</v>
      </c>
      <c r="AB142" s="2">
        <v>0.0</v>
      </c>
      <c r="AC142" s="2">
        <v>0.0</v>
      </c>
      <c r="AD142" s="2">
        <v>0.0</v>
      </c>
      <c r="AE142" s="2">
        <v>222.0</v>
      </c>
      <c r="AF142" s="2">
        <v>45.0</v>
      </c>
      <c r="AG142" s="2">
        <v>10.0</v>
      </c>
      <c r="AH142" s="2">
        <v>20.0</v>
      </c>
      <c r="AI142" s="2" t="s">
        <v>1458</v>
      </c>
      <c r="AJ142" s="2" t="s">
        <v>1459</v>
      </c>
      <c r="AK142" s="2">
        <v>43.6590666560748</v>
      </c>
      <c r="AL142" s="2">
        <v>19.0718985421656</v>
      </c>
      <c r="AM142" s="2" t="s">
        <v>55</v>
      </c>
      <c r="AN142" s="2">
        <v>1.162</v>
      </c>
      <c r="AO142" s="2" t="s">
        <v>36</v>
      </c>
      <c r="AP142" s="2">
        <v>0.10188679245283</v>
      </c>
      <c r="AQ142" s="2">
        <v>0.201415094339623</v>
      </c>
      <c r="AR142" s="2">
        <v>0.00235849056603774</v>
      </c>
      <c r="AS142" s="2">
        <v>2.0</v>
      </c>
    </row>
    <row r="143" ht="15.75" customHeight="1">
      <c r="A143" s="2">
        <v>16.0</v>
      </c>
      <c r="B143" s="2">
        <v>1394.168213</v>
      </c>
      <c r="C143" s="2">
        <v>223.0</v>
      </c>
      <c r="D143" s="2">
        <v>1522717.228</v>
      </c>
      <c r="E143" s="2">
        <v>5440138.438</v>
      </c>
      <c r="F143" s="2">
        <v>1394.168213</v>
      </c>
      <c r="G143" s="2" t="s">
        <v>159</v>
      </c>
      <c r="H143" s="2" t="s">
        <v>1462</v>
      </c>
      <c r="I143" s="2">
        <v>45392.0</v>
      </c>
      <c r="J143" s="2">
        <v>11.0</v>
      </c>
      <c r="K143" s="2" t="s">
        <v>36</v>
      </c>
      <c r="L143" s="2" t="s">
        <v>159</v>
      </c>
      <c r="M143" s="2">
        <v>2.0</v>
      </c>
      <c r="N143" s="2">
        <v>0.0</v>
      </c>
      <c r="O143" s="2">
        <v>0.0</v>
      </c>
      <c r="P143" s="2">
        <v>40.0</v>
      </c>
      <c r="Q143" s="2">
        <v>60.0</v>
      </c>
      <c r="R143" s="2">
        <v>0.0</v>
      </c>
      <c r="S143" s="2">
        <v>0.0</v>
      </c>
      <c r="T143" s="2">
        <v>0.0</v>
      </c>
      <c r="U143" s="2">
        <v>0.0</v>
      </c>
      <c r="V143" s="2">
        <v>0.0</v>
      </c>
      <c r="W143" s="2">
        <v>100.0</v>
      </c>
      <c r="X143" s="2">
        <v>90.0</v>
      </c>
      <c r="Y143" s="2">
        <v>0.0</v>
      </c>
      <c r="Z143" s="2">
        <v>0.0</v>
      </c>
      <c r="AA143" s="2">
        <v>10.0</v>
      </c>
      <c r="AB143" s="2">
        <v>0.0</v>
      </c>
      <c r="AC143" s="2">
        <v>0.0</v>
      </c>
      <c r="AD143" s="2">
        <v>0.0</v>
      </c>
      <c r="AE143" s="2">
        <v>223.0</v>
      </c>
      <c r="AF143" s="2">
        <v>50.0</v>
      </c>
      <c r="AG143" s="2">
        <v>0.0</v>
      </c>
      <c r="AH143" s="2">
        <v>10.0</v>
      </c>
      <c r="AI143" s="2" t="s">
        <v>1466</v>
      </c>
      <c r="AJ143" s="2" t="s">
        <v>1467</v>
      </c>
      <c r="AK143" s="2">
        <v>48.3308362790296</v>
      </c>
      <c r="AL143" s="2">
        <v>23.713006410061</v>
      </c>
      <c r="AM143" s="2" t="s">
        <v>55</v>
      </c>
      <c r="AN143" s="2">
        <v>1.162</v>
      </c>
      <c r="AO143" s="2" t="s">
        <v>36</v>
      </c>
      <c r="AP143" s="2">
        <v>0.00235849056603774</v>
      </c>
      <c r="AQ143" s="2">
        <v>0.10188679245283</v>
      </c>
      <c r="AR143" s="2">
        <v>0.00235849056603774</v>
      </c>
      <c r="AS143" s="2">
        <v>2.0</v>
      </c>
    </row>
    <row r="144" ht="15.75" customHeight="1">
      <c r="A144" s="2">
        <v>16.0</v>
      </c>
      <c r="B144" s="2">
        <v>1395.134277</v>
      </c>
      <c r="C144" s="2">
        <v>224.0</v>
      </c>
      <c r="D144" s="2">
        <v>1522710.936</v>
      </c>
      <c r="E144" s="2">
        <v>5440138.235</v>
      </c>
      <c r="F144" s="2">
        <v>1395.134277</v>
      </c>
      <c r="G144" s="2" t="s">
        <v>159</v>
      </c>
      <c r="H144" s="2" t="s">
        <v>1468</v>
      </c>
      <c r="I144" s="2">
        <v>45392.0</v>
      </c>
      <c r="J144" s="2">
        <v>12.0</v>
      </c>
      <c r="K144" s="2" t="s">
        <v>36</v>
      </c>
      <c r="L144" s="2" t="s">
        <v>159</v>
      </c>
      <c r="M144" s="2">
        <v>2.0</v>
      </c>
      <c r="N144" s="2">
        <v>0.0</v>
      </c>
      <c r="O144" s="2">
        <v>0.0</v>
      </c>
      <c r="P144" s="2">
        <v>40.0</v>
      </c>
      <c r="Q144" s="2">
        <v>40.0</v>
      </c>
      <c r="R144" s="2">
        <v>0.0</v>
      </c>
      <c r="S144" s="2">
        <v>0.0</v>
      </c>
      <c r="T144" s="2">
        <v>0.0</v>
      </c>
      <c r="U144" s="2">
        <v>20.0</v>
      </c>
      <c r="V144" s="2">
        <v>0.0</v>
      </c>
      <c r="W144" s="2">
        <v>100.0</v>
      </c>
      <c r="X144" s="2">
        <v>90.0</v>
      </c>
      <c r="Y144" s="2">
        <v>0.0</v>
      </c>
      <c r="Z144" s="2">
        <v>0.0</v>
      </c>
      <c r="AA144" s="2">
        <v>10.0</v>
      </c>
      <c r="AB144" s="2">
        <v>0.0</v>
      </c>
      <c r="AC144" s="2">
        <v>0.0</v>
      </c>
      <c r="AD144" s="2">
        <v>0.0</v>
      </c>
      <c r="AE144" s="2">
        <v>224.0</v>
      </c>
      <c r="AF144" s="2">
        <v>55.0</v>
      </c>
      <c r="AG144" s="2">
        <v>20.0</v>
      </c>
      <c r="AH144" s="2">
        <v>10.0</v>
      </c>
      <c r="AI144" s="2" t="s">
        <v>1469</v>
      </c>
      <c r="AJ144" s="2" t="s">
        <v>1471</v>
      </c>
      <c r="AK144" s="2">
        <v>46.3944263866264</v>
      </c>
      <c r="AL144" s="2">
        <v>22.0077325727979</v>
      </c>
      <c r="AM144" s="2" t="s">
        <v>55</v>
      </c>
      <c r="AN144" s="2">
        <v>1.162</v>
      </c>
      <c r="AO144" s="2" t="s">
        <v>36</v>
      </c>
      <c r="AP144" s="2">
        <v>0.201415094339623</v>
      </c>
      <c r="AQ144" s="2">
        <v>0.10188679245283</v>
      </c>
      <c r="AR144" s="2">
        <v>0.00235849056603774</v>
      </c>
      <c r="AS144" s="2">
        <v>2.0</v>
      </c>
    </row>
    <row r="145" ht="15.75" customHeight="1">
      <c r="A145" s="2">
        <v>16.0</v>
      </c>
      <c r="B145" s="2">
        <v>1393.217651</v>
      </c>
      <c r="C145" s="2">
        <v>225.0</v>
      </c>
      <c r="D145" s="2">
        <v>1522722.988</v>
      </c>
      <c r="E145" s="2">
        <v>5440129.313</v>
      </c>
      <c r="F145" s="2">
        <v>1393.217651</v>
      </c>
      <c r="G145" s="2" t="s">
        <v>159</v>
      </c>
      <c r="H145" s="2" t="s">
        <v>1473</v>
      </c>
      <c r="I145" s="2">
        <v>45392.0</v>
      </c>
      <c r="J145" s="2">
        <v>13.0</v>
      </c>
      <c r="K145" s="2" t="s">
        <v>36</v>
      </c>
      <c r="L145" s="2" t="s">
        <v>159</v>
      </c>
      <c r="M145" s="2">
        <v>1.0</v>
      </c>
      <c r="N145" s="2">
        <v>0.0</v>
      </c>
      <c r="O145" s="2">
        <v>0.0</v>
      </c>
      <c r="P145" s="2">
        <v>40.0</v>
      </c>
      <c r="Q145" s="2">
        <v>60.0</v>
      </c>
      <c r="R145" s="2">
        <v>0.0</v>
      </c>
      <c r="S145" s="2">
        <v>0.0</v>
      </c>
      <c r="T145" s="2">
        <v>0.0</v>
      </c>
      <c r="U145" s="2">
        <v>0.0</v>
      </c>
      <c r="V145" s="2">
        <v>0.0</v>
      </c>
      <c r="W145" s="2">
        <v>100.0</v>
      </c>
      <c r="X145" s="2">
        <v>100.0</v>
      </c>
      <c r="Y145" s="2">
        <v>0.0</v>
      </c>
      <c r="Z145" s="2">
        <v>0.0</v>
      </c>
      <c r="AA145" s="2">
        <v>0.0</v>
      </c>
      <c r="AB145" s="2">
        <v>0.0</v>
      </c>
      <c r="AC145" s="2">
        <v>0.0</v>
      </c>
      <c r="AD145" s="2">
        <v>0.0</v>
      </c>
      <c r="AE145" s="2">
        <v>225.0</v>
      </c>
      <c r="AF145" s="2">
        <v>60.0</v>
      </c>
      <c r="AG145" s="2">
        <v>0.0</v>
      </c>
      <c r="AH145" s="2">
        <v>0.0</v>
      </c>
      <c r="AI145" s="2" t="s">
        <v>1475</v>
      </c>
      <c r="AJ145" s="2" t="s">
        <v>1476</v>
      </c>
      <c r="AK145" s="2">
        <v>59.0151826938051</v>
      </c>
      <c r="AL145" s="2">
        <v>33.6897012751031</v>
      </c>
      <c r="AM145" s="2" t="s">
        <v>55</v>
      </c>
      <c r="AN145" s="2">
        <v>1.162</v>
      </c>
      <c r="AO145" s="2" t="s">
        <v>36</v>
      </c>
      <c r="AP145" s="2">
        <v>0.00235849056603774</v>
      </c>
      <c r="AQ145" s="2">
        <v>0.00235849056603774</v>
      </c>
      <c r="AR145" s="2">
        <v>0.00235849056603774</v>
      </c>
      <c r="AS145" s="2">
        <v>1.0</v>
      </c>
    </row>
    <row r="146" ht="15.75" customHeight="1">
      <c r="A146" s="2">
        <v>16.0</v>
      </c>
      <c r="B146" s="2">
        <v>1392.747437</v>
      </c>
      <c r="C146" s="2">
        <v>226.0</v>
      </c>
      <c r="D146" s="2">
        <v>1522724.25</v>
      </c>
      <c r="E146" s="2">
        <v>5440130.42</v>
      </c>
      <c r="F146" s="2">
        <v>1392.747437</v>
      </c>
      <c r="G146" s="2" t="s">
        <v>159</v>
      </c>
      <c r="H146" s="2" t="s">
        <v>1481</v>
      </c>
      <c r="I146" s="2">
        <v>45392.0</v>
      </c>
      <c r="J146" s="2">
        <v>14.0</v>
      </c>
      <c r="K146" s="2" t="s">
        <v>36</v>
      </c>
      <c r="L146" s="2" t="s">
        <v>159</v>
      </c>
      <c r="M146" s="2">
        <v>1.0</v>
      </c>
      <c r="N146" s="2">
        <v>0.0</v>
      </c>
      <c r="O146" s="2">
        <v>0.0</v>
      </c>
      <c r="P146" s="2">
        <v>0.0</v>
      </c>
      <c r="Q146" s="2">
        <v>100.0</v>
      </c>
      <c r="R146" s="2">
        <v>0.0</v>
      </c>
      <c r="S146" s="2">
        <v>0.0</v>
      </c>
      <c r="T146" s="2">
        <v>0.0</v>
      </c>
      <c r="U146" s="2">
        <v>0.0</v>
      </c>
      <c r="V146" s="2">
        <v>0.0</v>
      </c>
      <c r="W146" s="2">
        <v>100.0</v>
      </c>
      <c r="X146" s="2">
        <v>100.0</v>
      </c>
      <c r="Y146" s="2">
        <v>0.0</v>
      </c>
      <c r="Z146" s="2">
        <v>0.0</v>
      </c>
      <c r="AA146" s="2">
        <v>0.0</v>
      </c>
      <c r="AB146" s="2">
        <v>0.0</v>
      </c>
      <c r="AC146" s="2">
        <v>0.0</v>
      </c>
      <c r="AD146" s="2">
        <v>0.0</v>
      </c>
      <c r="AE146" s="2">
        <v>226.0</v>
      </c>
      <c r="AF146" s="2">
        <v>65.0</v>
      </c>
      <c r="AG146" s="2">
        <v>0.0</v>
      </c>
      <c r="AH146" s="2">
        <v>0.0</v>
      </c>
      <c r="AI146" s="2" t="s">
        <v>1483</v>
      </c>
      <c r="AJ146" s="2" t="s">
        <v>1484</v>
      </c>
      <c r="AK146" s="2">
        <v>58.5666980905673</v>
      </c>
      <c r="AL146" s="2">
        <v>32.8559693970039</v>
      </c>
      <c r="AM146" s="2" t="s">
        <v>55</v>
      </c>
      <c r="AN146" s="2">
        <v>1.162</v>
      </c>
      <c r="AO146" s="2" t="s">
        <v>36</v>
      </c>
      <c r="AP146" s="2">
        <v>0.00235849056603774</v>
      </c>
      <c r="AQ146" s="2">
        <v>0.00235849056603774</v>
      </c>
      <c r="AR146" s="2">
        <v>0.00235849056603774</v>
      </c>
      <c r="AS146" s="2">
        <v>1.0</v>
      </c>
    </row>
    <row r="147" ht="15.75" customHeight="1">
      <c r="A147" s="2">
        <v>16.0</v>
      </c>
      <c r="B147" s="2">
        <v>1392.069458</v>
      </c>
      <c r="C147" s="2">
        <v>227.0</v>
      </c>
      <c r="D147" s="2">
        <v>1522726.424</v>
      </c>
      <c r="E147" s="2">
        <v>5440127.859</v>
      </c>
      <c r="F147" s="2">
        <v>1392.069458</v>
      </c>
      <c r="G147" s="2" t="s">
        <v>159</v>
      </c>
      <c r="H147" s="2" t="s">
        <v>1486</v>
      </c>
      <c r="I147" s="2">
        <v>45392.0</v>
      </c>
      <c r="J147" s="2">
        <v>15.0</v>
      </c>
      <c r="K147" s="2" t="s">
        <v>36</v>
      </c>
      <c r="L147" s="2" t="s">
        <v>159</v>
      </c>
      <c r="M147" s="2">
        <v>1.0</v>
      </c>
      <c r="N147" s="2">
        <v>0.0</v>
      </c>
      <c r="O147" s="2">
        <v>0.0</v>
      </c>
      <c r="P147" s="2">
        <v>0.0</v>
      </c>
      <c r="Q147" s="2">
        <v>100.0</v>
      </c>
      <c r="R147" s="2">
        <v>0.0</v>
      </c>
      <c r="S147" s="2">
        <v>0.0</v>
      </c>
      <c r="T147" s="2">
        <v>0.0</v>
      </c>
      <c r="U147" s="2">
        <v>0.0</v>
      </c>
      <c r="V147" s="2">
        <v>0.0</v>
      </c>
      <c r="W147" s="2">
        <v>100.0</v>
      </c>
      <c r="X147" s="2">
        <v>100.0</v>
      </c>
      <c r="Y147" s="2">
        <v>0.0</v>
      </c>
      <c r="Z147" s="2">
        <v>0.0</v>
      </c>
      <c r="AA147" s="2">
        <v>0.0</v>
      </c>
      <c r="AB147" s="2">
        <v>0.0</v>
      </c>
      <c r="AC147" s="2">
        <v>0.0</v>
      </c>
      <c r="AD147" s="2">
        <v>0.0</v>
      </c>
      <c r="AE147" s="2">
        <v>227.0</v>
      </c>
      <c r="AF147" s="2">
        <v>70.0</v>
      </c>
      <c r="AG147" s="2">
        <v>0.0</v>
      </c>
      <c r="AH147" s="2">
        <v>0.0</v>
      </c>
      <c r="AI147" s="2" t="s">
        <v>1487</v>
      </c>
      <c r="AJ147" s="2" t="s">
        <v>1488</v>
      </c>
      <c r="AK147" s="2">
        <v>61.8345485571227</v>
      </c>
      <c r="AL147" s="2">
        <v>35.8671167506324</v>
      </c>
      <c r="AM147" s="2" t="s">
        <v>55</v>
      </c>
      <c r="AN147" s="2">
        <v>1.162</v>
      </c>
      <c r="AO147" s="2" t="s">
        <v>36</v>
      </c>
      <c r="AP147" s="2">
        <v>0.00235849056603774</v>
      </c>
      <c r="AQ147" s="2">
        <v>0.00235849056603774</v>
      </c>
      <c r="AR147" s="2">
        <v>0.00235849056603774</v>
      </c>
      <c r="AS147" s="2">
        <v>1.0</v>
      </c>
    </row>
    <row r="148" ht="15.75" customHeight="1">
      <c r="A148" s="2">
        <v>21.0</v>
      </c>
      <c r="B148" s="2">
        <v>1443.12</v>
      </c>
      <c r="C148" s="2" t="s">
        <v>1490</v>
      </c>
      <c r="D148" s="2">
        <v>1535243.209</v>
      </c>
      <c r="E148" s="2">
        <v>5444523.564</v>
      </c>
      <c r="F148" s="2">
        <v>1443.12</v>
      </c>
      <c r="G148" s="2" t="s">
        <v>1402</v>
      </c>
      <c r="H148" s="2" t="s">
        <v>1491</v>
      </c>
      <c r="I148" s="2">
        <v>45339.0</v>
      </c>
      <c r="J148" s="2">
        <v>1.0</v>
      </c>
      <c r="K148" s="2" t="s">
        <v>31</v>
      </c>
      <c r="L148" s="2" t="s">
        <v>1371</v>
      </c>
      <c r="M148" s="2">
        <v>4.0</v>
      </c>
      <c r="N148" s="2">
        <v>66.0</v>
      </c>
      <c r="O148" s="2">
        <v>2.0</v>
      </c>
      <c r="P148" s="2">
        <v>2.0</v>
      </c>
      <c r="Q148" s="2">
        <v>0.0</v>
      </c>
      <c r="R148" s="2">
        <v>0.0</v>
      </c>
      <c r="S148" s="2">
        <v>10.0</v>
      </c>
      <c r="T148" s="2">
        <v>15.0</v>
      </c>
      <c r="U148" s="2">
        <v>5.0</v>
      </c>
      <c r="V148" s="2">
        <v>0.0</v>
      </c>
      <c r="W148" s="2">
        <v>100.0</v>
      </c>
      <c r="X148" s="2">
        <v>40.0</v>
      </c>
      <c r="Y148" s="2">
        <v>0.0</v>
      </c>
      <c r="Z148" s="2">
        <v>10.0</v>
      </c>
      <c r="AA148" s="2">
        <v>50.0</v>
      </c>
      <c r="AB148" s="2">
        <v>0.0</v>
      </c>
      <c r="AC148" s="2">
        <v>0.0</v>
      </c>
      <c r="AD148" s="2">
        <v>0.0</v>
      </c>
      <c r="AE148" s="2" t="s">
        <v>33</v>
      </c>
      <c r="AF148" s="2">
        <v>0.0</v>
      </c>
      <c r="AG148" s="2">
        <v>30.0</v>
      </c>
      <c r="AH148" s="2">
        <v>60.0</v>
      </c>
      <c r="AI148" s="2" t="s">
        <v>1366</v>
      </c>
      <c r="AJ148" s="2" t="s">
        <v>1368</v>
      </c>
      <c r="AK148" s="2">
        <v>39.3134940661621</v>
      </c>
      <c r="AL148" s="2">
        <v>0.0</v>
      </c>
      <c r="AM148" s="2" t="s">
        <v>55</v>
      </c>
      <c r="AN148" s="2">
        <v>1.316</v>
      </c>
      <c r="AO148" s="2" t="s">
        <v>31</v>
      </c>
      <c r="AP148" s="2">
        <v>0.300943396226415</v>
      </c>
      <c r="AQ148" s="2">
        <v>0.599528301886792</v>
      </c>
      <c r="AR148" s="2">
        <v>0.659245283018868</v>
      </c>
      <c r="AS148" s="2">
        <v>4.0</v>
      </c>
    </row>
    <row r="149" ht="15.75" customHeight="1">
      <c r="A149" s="2">
        <v>21.0</v>
      </c>
      <c r="B149" s="2">
        <v>1445.51</v>
      </c>
      <c r="C149" s="2" t="s">
        <v>1497</v>
      </c>
      <c r="D149" s="2">
        <v>1535240.918</v>
      </c>
      <c r="E149" s="2">
        <v>5444518.133</v>
      </c>
      <c r="F149" s="2">
        <v>1445.51</v>
      </c>
      <c r="G149" s="2" t="s">
        <v>1402</v>
      </c>
      <c r="H149" s="2" t="s">
        <v>1498</v>
      </c>
      <c r="I149" s="2">
        <v>45339.0</v>
      </c>
      <c r="J149" s="2">
        <v>2.0</v>
      </c>
      <c r="K149" s="2" t="s">
        <v>31</v>
      </c>
      <c r="L149" s="2" t="s">
        <v>1371</v>
      </c>
      <c r="M149" s="2">
        <v>3.0</v>
      </c>
      <c r="N149" s="2">
        <v>33.0</v>
      </c>
      <c r="O149" s="2">
        <v>2.0</v>
      </c>
      <c r="P149" s="2">
        <v>10.0</v>
      </c>
      <c r="Q149" s="2">
        <v>0.0</v>
      </c>
      <c r="R149" s="2">
        <v>0.0</v>
      </c>
      <c r="S149" s="2">
        <v>15.0</v>
      </c>
      <c r="T149" s="2">
        <v>30.0</v>
      </c>
      <c r="U149" s="2">
        <v>10.0</v>
      </c>
      <c r="V149" s="2">
        <v>0.0</v>
      </c>
      <c r="W149" s="2">
        <v>100.0</v>
      </c>
      <c r="X149" s="2">
        <v>50.0</v>
      </c>
      <c r="Y149" s="2">
        <v>0.0</v>
      </c>
      <c r="Z149" s="2">
        <v>10.0</v>
      </c>
      <c r="AA149" s="2">
        <v>40.0</v>
      </c>
      <c r="AB149" s="2">
        <v>0.0</v>
      </c>
      <c r="AC149" s="2">
        <v>0.0</v>
      </c>
      <c r="AD149" s="2">
        <v>0.0</v>
      </c>
      <c r="AE149" s="2" t="s">
        <v>33</v>
      </c>
      <c r="AF149" s="2">
        <v>5.0</v>
      </c>
      <c r="AG149" s="2">
        <v>55.0</v>
      </c>
      <c r="AH149" s="2">
        <v>50.0</v>
      </c>
      <c r="AI149" s="2" t="s">
        <v>1506</v>
      </c>
      <c r="AJ149" s="2" t="s">
        <v>1507</v>
      </c>
      <c r="AK149" s="2">
        <v>38.7805179294925</v>
      </c>
      <c r="AL149" s="2">
        <v>5.89444161888115</v>
      </c>
      <c r="AM149" s="2" t="s">
        <v>55</v>
      </c>
      <c r="AN149" s="2">
        <v>1.316</v>
      </c>
      <c r="AO149" s="2" t="s">
        <v>31</v>
      </c>
      <c r="AP149" s="2">
        <v>0.549764150943396</v>
      </c>
      <c r="AQ149" s="2">
        <v>0.5</v>
      </c>
      <c r="AR149" s="2">
        <v>0.330801886792453</v>
      </c>
      <c r="AS149" s="2">
        <v>3.0</v>
      </c>
    </row>
    <row r="150" ht="15.75" customHeight="1">
      <c r="A150" s="2">
        <v>21.0</v>
      </c>
      <c r="B150" s="2">
        <v>1443.4</v>
      </c>
      <c r="C150" s="2" t="s">
        <v>1508</v>
      </c>
      <c r="D150" s="2">
        <v>1535241.345</v>
      </c>
      <c r="E150" s="2">
        <v>5444502.05</v>
      </c>
      <c r="F150" s="2">
        <v>1443.4</v>
      </c>
      <c r="G150" s="2" t="s">
        <v>1402</v>
      </c>
      <c r="H150" s="2" t="s">
        <v>1509</v>
      </c>
      <c r="I150" s="2">
        <v>45339.0</v>
      </c>
      <c r="J150" s="2">
        <v>3.0</v>
      </c>
      <c r="K150" s="2" t="s">
        <v>31</v>
      </c>
      <c r="L150" s="2" t="s">
        <v>1371</v>
      </c>
      <c r="M150" s="2">
        <v>3.0</v>
      </c>
      <c r="N150" s="2">
        <v>35.0</v>
      </c>
      <c r="O150" s="2">
        <v>0.0</v>
      </c>
      <c r="P150" s="2">
        <v>5.0</v>
      </c>
      <c r="Q150" s="2">
        <v>0.0</v>
      </c>
      <c r="R150" s="2">
        <v>0.0</v>
      </c>
      <c r="S150" s="2">
        <v>10.0</v>
      </c>
      <c r="T150" s="2">
        <v>40.0</v>
      </c>
      <c r="U150" s="2">
        <v>10.0</v>
      </c>
      <c r="V150" s="2">
        <v>0.0</v>
      </c>
      <c r="W150" s="2">
        <v>100.0</v>
      </c>
      <c r="X150" s="2">
        <v>60.0</v>
      </c>
      <c r="Y150" s="2">
        <v>0.0</v>
      </c>
      <c r="Z150" s="2">
        <v>10.0</v>
      </c>
      <c r="AA150" s="2">
        <v>30.0</v>
      </c>
      <c r="AB150" s="2">
        <v>0.0</v>
      </c>
      <c r="AC150" s="2">
        <v>0.0</v>
      </c>
      <c r="AD150" s="2">
        <v>0.0</v>
      </c>
      <c r="AE150" s="2" t="s">
        <v>33</v>
      </c>
      <c r="AF150" s="2">
        <v>10.0</v>
      </c>
      <c r="AG150" s="2">
        <v>60.0</v>
      </c>
      <c r="AH150" s="2">
        <v>40.0</v>
      </c>
      <c r="AI150" s="2" t="s">
        <v>1513</v>
      </c>
      <c r="AJ150" s="2" t="s">
        <v>1514</v>
      </c>
      <c r="AK150" s="2">
        <v>34.8376998712698</v>
      </c>
      <c r="AL150" s="2">
        <v>21.5945986769566</v>
      </c>
      <c r="AM150" s="2" t="s">
        <v>55</v>
      </c>
      <c r="AN150" s="2">
        <v>1.316</v>
      </c>
      <c r="AO150" s="2" t="s">
        <v>31</v>
      </c>
      <c r="AP150" s="2">
        <v>0.599528301886792</v>
      </c>
      <c r="AQ150" s="2">
        <v>0.400471698113208</v>
      </c>
      <c r="AR150" s="2">
        <v>0.350707547169811</v>
      </c>
      <c r="AS150" s="2">
        <v>3.0</v>
      </c>
    </row>
    <row r="151" ht="15.75" customHeight="1">
      <c r="A151" s="2">
        <v>21.0</v>
      </c>
      <c r="B151" s="2">
        <v>1442.95</v>
      </c>
      <c r="C151" s="2" t="s">
        <v>1517</v>
      </c>
      <c r="D151" s="2">
        <v>1535240.296</v>
      </c>
      <c r="E151" s="2">
        <v>5444502.401</v>
      </c>
      <c r="F151" s="2">
        <v>1442.95</v>
      </c>
      <c r="G151" s="2" t="s">
        <v>1402</v>
      </c>
      <c r="H151" s="2" t="s">
        <v>1518</v>
      </c>
      <c r="I151" s="2">
        <v>45339.0</v>
      </c>
      <c r="J151" s="2">
        <v>4.0</v>
      </c>
      <c r="K151" s="2" t="s">
        <v>31</v>
      </c>
      <c r="L151" s="2" t="s">
        <v>1371</v>
      </c>
      <c r="M151" s="2">
        <v>2.0</v>
      </c>
      <c r="N151" s="2">
        <v>0.0</v>
      </c>
      <c r="O151" s="2">
        <v>2.0</v>
      </c>
      <c r="P151" s="2">
        <v>0.0</v>
      </c>
      <c r="Q151" s="2">
        <v>0.0</v>
      </c>
      <c r="R151" s="2">
        <v>0.0</v>
      </c>
      <c r="S151" s="2">
        <v>0.0</v>
      </c>
      <c r="T151" s="2">
        <v>55.0</v>
      </c>
      <c r="U151" s="2">
        <v>25.0</v>
      </c>
      <c r="V151" s="2">
        <v>18.0</v>
      </c>
      <c r="W151" s="2">
        <v>100.0</v>
      </c>
      <c r="X151" s="2">
        <v>90.0</v>
      </c>
      <c r="Y151" s="2">
        <v>0.0</v>
      </c>
      <c r="Z151" s="2">
        <v>0.0</v>
      </c>
      <c r="AA151" s="2">
        <v>10.0</v>
      </c>
      <c r="AB151" s="2">
        <v>0.0</v>
      </c>
      <c r="AC151" s="2">
        <v>0.0</v>
      </c>
      <c r="AD151" s="2">
        <v>0.0</v>
      </c>
      <c r="AE151" s="2" t="s">
        <v>33</v>
      </c>
      <c r="AF151" s="2">
        <v>15.0</v>
      </c>
      <c r="AG151" s="2">
        <v>98.0</v>
      </c>
      <c r="AH151" s="2">
        <v>10.0</v>
      </c>
      <c r="AI151" s="2" t="s">
        <v>1521</v>
      </c>
      <c r="AJ151" s="2" t="s">
        <v>1522</v>
      </c>
      <c r="AK151" s="2">
        <v>35.9173067574836</v>
      </c>
      <c r="AL151" s="2">
        <v>21.3625405330636</v>
      </c>
      <c r="AM151" s="2" t="s">
        <v>55</v>
      </c>
      <c r="AN151" s="2">
        <v>1.316</v>
      </c>
      <c r="AO151" s="2" t="s">
        <v>31</v>
      </c>
      <c r="AP151" s="2">
        <v>0.977735849056604</v>
      </c>
      <c r="AQ151" s="2">
        <v>0.10188679245283</v>
      </c>
      <c r="AR151" s="2">
        <v>0.00235849056603774</v>
      </c>
      <c r="AS151" s="2">
        <v>2.0</v>
      </c>
    </row>
    <row r="152" ht="15.75" customHeight="1">
      <c r="A152" s="2">
        <v>21.0</v>
      </c>
      <c r="B152" s="2">
        <v>1443.71</v>
      </c>
      <c r="C152" s="2" t="s">
        <v>1523</v>
      </c>
      <c r="D152" s="2">
        <v>1535231.987</v>
      </c>
      <c r="E152" s="2">
        <v>5444508.273</v>
      </c>
      <c r="F152" s="2">
        <v>1443.71</v>
      </c>
      <c r="G152" s="2" t="s">
        <v>1402</v>
      </c>
      <c r="H152" s="2" t="s">
        <v>1525</v>
      </c>
      <c r="I152" s="2">
        <v>45339.0</v>
      </c>
      <c r="J152" s="2">
        <v>5.0</v>
      </c>
      <c r="K152" s="2" t="s">
        <v>31</v>
      </c>
      <c r="L152" s="2" t="s">
        <v>1371</v>
      </c>
      <c r="M152" s="2">
        <v>1.0</v>
      </c>
      <c r="N152" s="2">
        <v>0.0</v>
      </c>
      <c r="O152" s="2">
        <v>0.0</v>
      </c>
      <c r="P152" s="2">
        <v>0.0</v>
      </c>
      <c r="Q152" s="2">
        <v>0.0</v>
      </c>
      <c r="R152" s="2">
        <v>0.0</v>
      </c>
      <c r="S152" s="2">
        <v>0.0</v>
      </c>
      <c r="T152" s="2">
        <v>80.0</v>
      </c>
      <c r="U152" s="2">
        <v>20.0</v>
      </c>
      <c r="V152" s="2">
        <v>0.0</v>
      </c>
      <c r="W152" s="2">
        <v>100.0</v>
      </c>
      <c r="X152" s="2">
        <v>90.0</v>
      </c>
      <c r="Y152" s="2">
        <v>0.0</v>
      </c>
      <c r="Z152" s="2">
        <v>0.0</v>
      </c>
      <c r="AA152" s="2">
        <v>10.0</v>
      </c>
      <c r="AB152" s="2">
        <v>0.0</v>
      </c>
      <c r="AC152" s="2">
        <v>0.0</v>
      </c>
      <c r="AD152" s="2">
        <v>0.0</v>
      </c>
      <c r="AE152" s="2" t="s">
        <v>33</v>
      </c>
      <c r="AF152" s="2">
        <v>20.0</v>
      </c>
      <c r="AG152" s="2">
        <v>100.0</v>
      </c>
      <c r="AH152" s="2">
        <v>10.0</v>
      </c>
      <c r="AI152" s="2" t="s">
        <v>1532</v>
      </c>
      <c r="AJ152" s="2" t="s">
        <v>1533</v>
      </c>
      <c r="AK152" s="2">
        <v>44.8020078321217</v>
      </c>
      <c r="AL152" s="2">
        <v>18.9670230929278</v>
      </c>
      <c r="AM152" s="2" t="s">
        <v>55</v>
      </c>
      <c r="AN152" s="2">
        <v>1.316</v>
      </c>
      <c r="AO152" s="2" t="s">
        <v>31</v>
      </c>
      <c r="AP152" s="2">
        <v>0.997641509433962</v>
      </c>
      <c r="AQ152" s="2">
        <v>0.10188679245283</v>
      </c>
      <c r="AR152" s="2">
        <v>0.00235849056603774</v>
      </c>
      <c r="AS152" s="2">
        <v>1.0</v>
      </c>
    </row>
    <row r="153" ht="15.75" customHeight="1">
      <c r="A153" s="2">
        <v>24.0</v>
      </c>
      <c r="B153" s="2">
        <v>1375.53</v>
      </c>
      <c r="C153" s="2" t="s">
        <v>1534</v>
      </c>
      <c r="D153" s="2">
        <v>1535680.074</v>
      </c>
      <c r="E153" s="2">
        <v>5445143.841</v>
      </c>
      <c r="F153" s="2">
        <v>1375.53</v>
      </c>
      <c r="G153" s="2" t="s">
        <v>1402</v>
      </c>
      <c r="H153" s="2" t="s">
        <v>1535</v>
      </c>
      <c r="I153" s="2">
        <v>45339.0</v>
      </c>
      <c r="J153" s="2">
        <v>1.0</v>
      </c>
      <c r="K153" s="2" t="s">
        <v>31</v>
      </c>
      <c r="L153" s="2" t="s">
        <v>329</v>
      </c>
      <c r="M153" s="2">
        <v>4.0</v>
      </c>
      <c r="N153" s="2">
        <v>53.0</v>
      </c>
      <c r="O153" s="2">
        <v>10.0</v>
      </c>
      <c r="P153" s="2">
        <v>5.0</v>
      </c>
      <c r="Q153" s="2">
        <v>0.0</v>
      </c>
      <c r="R153" s="2">
        <v>0.0</v>
      </c>
      <c r="S153" s="2">
        <v>2.0</v>
      </c>
      <c r="T153" s="2">
        <v>10.0</v>
      </c>
      <c r="U153" s="2">
        <v>20.0</v>
      </c>
      <c r="V153" s="2">
        <v>0.0</v>
      </c>
      <c r="W153" s="2">
        <v>100.0</v>
      </c>
      <c r="X153" s="2">
        <v>80.0</v>
      </c>
      <c r="Y153" s="2">
        <v>0.0</v>
      </c>
      <c r="Z153" s="2">
        <v>20.0</v>
      </c>
      <c r="AA153" s="2">
        <v>0.0</v>
      </c>
      <c r="AB153" s="2">
        <v>0.0</v>
      </c>
      <c r="AC153" s="2">
        <v>0.0</v>
      </c>
      <c r="AD153" s="2">
        <v>0.0</v>
      </c>
      <c r="AE153" s="2" t="s">
        <v>33</v>
      </c>
      <c r="AF153" s="2">
        <v>0.0</v>
      </c>
      <c r="AG153" s="2">
        <v>32.0</v>
      </c>
      <c r="AH153" s="2">
        <v>20.0</v>
      </c>
      <c r="AI153" s="2" t="s">
        <v>1544</v>
      </c>
      <c r="AJ153" s="2" t="s">
        <v>1545</v>
      </c>
      <c r="AK153" s="2">
        <v>16.2897363015396</v>
      </c>
      <c r="AL153" s="2">
        <v>242.835007964227</v>
      </c>
      <c r="AM153" s="2" t="s">
        <v>55</v>
      </c>
      <c r="AN153" s="2">
        <v>1.533</v>
      </c>
      <c r="AO153" s="2" t="s">
        <v>31</v>
      </c>
      <c r="AP153" s="2">
        <v>0.320849056603774</v>
      </c>
      <c r="AQ153" s="2">
        <v>0.201415094339623</v>
      </c>
      <c r="AR153" s="2">
        <v>0.529858490566038</v>
      </c>
      <c r="AS153" s="2">
        <v>4.0</v>
      </c>
    </row>
    <row r="154" ht="15.75" customHeight="1">
      <c r="A154" s="2">
        <v>24.0</v>
      </c>
      <c r="B154" s="2">
        <v>1381.29</v>
      </c>
      <c r="C154" s="2" t="s">
        <v>1497</v>
      </c>
      <c r="D154" s="2">
        <v>1535682.908</v>
      </c>
      <c r="E154" s="2">
        <v>5445143.336</v>
      </c>
      <c r="F154" s="2">
        <v>1381.29</v>
      </c>
      <c r="G154" s="2" t="s">
        <v>1402</v>
      </c>
      <c r="H154" s="2" t="s">
        <v>1551</v>
      </c>
      <c r="I154" s="2">
        <v>45339.0</v>
      </c>
      <c r="J154" s="2">
        <v>2.0</v>
      </c>
      <c r="K154" s="2" t="s">
        <v>31</v>
      </c>
      <c r="L154" s="2" t="s">
        <v>329</v>
      </c>
      <c r="M154" s="2">
        <v>4.0</v>
      </c>
      <c r="N154" s="2">
        <v>62.0</v>
      </c>
      <c r="O154" s="2">
        <v>5.0</v>
      </c>
      <c r="P154" s="2">
        <v>3.0</v>
      </c>
      <c r="Q154" s="2">
        <v>0.0</v>
      </c>
      <c r="R154" s="2">
        <v>0.0</v>
      </c>
      <c r="S154" s="2">
        <v>0.0</v>
      </c>
      <c r="T154" s="2">
        <v>10.0</v>
      </c>
      <c r="U154" s="2">
        <v>20.0</v>
      </c>
      <c r="V154" s="2">
        <v>0.0</v>
      </c>
      <c r="W154" s="2">
        <v>100.0</v>
      </c>
      <c r="X154" s="2">
        <v>50.0</v>
      </c>
      <c r="Y154" s="2">
        <v>0.0</v>
      </c>
      <c r="Z154" s="2">
        <v>25.0</v>
      </c>
      <c r="AA154" s="2">
        <v>25.0</v>
      </c>
      <c r="AB154" s="2">
        <v>0.0</v>
      </c>
      <c r="AC154" s="2">
        <v>0.0</v>
      </c>
      <c r="AD154" s="2">
        <v>0.0</v>
      </c>
      <c r="AE154" s="2" t="s">
        <v>33</v>
      </c>
      <c r="AF154" s="2">
        <v>5.0</v>
      </c>
      <c r="AG154" s="2">
        <v>30.0</v>
      </c>
      <c r="AH154" s="2">
        <v>50.0</v>
      </c>
      <c r="AI154" s="2" t="s">
        <v>1556</v>
      </c>
      <c r="AJ154" s="2" t="s">
        <v>1557</v>
      </c>
      <c r="AK154" s="2">
        <v>19.1681644001649</v>
      </c>
      <c r="AL154" s="2">
        <v>243.648374811002</v>
      </c>
      <c r="AM154" s="2" t="s">
        <v>55</v>
      </c>
      <c r="AN154" s="2">
        <v>1.533</v>
      </c>
      <c r="AO154" s="2" t="s">
        <v>31</v>
      </c>
      <c r="AP154" s="2">
        <v>0.300943396226415</v>
      </c>
      <c r="AQ154" s="2">
        <v>0.5</v>
      </c>
      <c r="AR154" s="2">
        <v>0.619433962264151</v>
      </c>
      <c r="AS154" s="2">
        <v>4.0</v>
      </c>
    </row>
    <row r="155" ht="15.75" customHeight="1">
      <c r="A155" s="2">
        <v>24.0</v>
      </c>
      <c r="B155" s="2">
        <v>1383.5</v>
      </c>
      <c r="C155" s="2" t="s">
        <v>1508</v>
      </c>
      <c r="D155" s="2">
        <v>1535667.398</v>
      </c>
      <c r="E155" s="2">
        <v>5445134.683</v>
      </c>
      <c r="F155" s="2">
        <v>1383.5</v>
      </c>
      <c r="G155" s="2" t="s">
        <v>1402</v>
      </c>
      <c r="H155" s="2" t="s">
        <v>1559</v>
      </c>
      <c r="I155" s="2">
        <v>45339.0</v>
      </c>
      <c r="J155" s="2">
        <v>3.0</v>
      </c>
      <c r="K155" s="2" t="s">
        <v>31</v>
      </c>
      <c r="L155" s="2" t="s">
        <v>329</v>
      </c>
      <c r="M155" s="2">
        <v>4.0</v>
      </c>
      <c r="N155" s="2">
        <v>50.0</v>
      </c>
      <c r="O155" s="2">
        <v>10.0</v>
      </c>
      <c r="P155" s="2">
        <v>15.0</v>
      </c>
      <c r="Q155" s="2">
        <v>0.0</v>
      </c>
      <c r="R155" s="2">
        <v>0.0</v>
      </c>
      <c r="S155" s="2">
        <v>2.0</v>
      </c>
      <c r="T155" s="2">
        <v>3.0</v>
      </c>
      <c r="U155" s="2">
        <v>20.0</v>
      </c>
      <c r="V155" s="2">
        <v>0.0</v>
      </c>
      <c r="W155" s="2">
        <v>100.0</v>
      </c>
      <c r="X155" s="2">
        <v>25.0</v>
      </c>
      <c r="Y155" s="2">
        <v>0.0</v>
      </c>
      <c r="Z155" s="2">
        <v>25.0</v>
      </c>
      <c r="AA155" s="2">
        <v>35.0</v>
      </c>
      <c r="AB155" s="2">
        <v>15.0</v>
      </c>
      <c r="AC155" s="2">
        <v>0.0</v>
      </c>
      <c r="AD155" s="2">
        <v>0.0</v>
      </c>
      <c r="AE155" s="2" t="s">
        <v>33</v>
      </c>
      <c r="AF155" s="2">
        <v>10.0</v>
      </c>
      <c r="AG155" s="2">
        <v>25.0</v>
      </c>
      <c r="AH155" s="2">
        <v>75.0</v>
      </c>
      <c r="AI155" s="2" t="s">
        <v>1562</v>
      </c>
      <c r="AJ155" s="2" t="s">
        <v>1563</v>
      </c>
      <c r="AK155" s="2">
        <v>5.55479885460668</v>
      </c>
      <c r="AL155" s="2">
        <v>229.139920199568</v>
      </c>
      <c r="AM155" s="2" t="s">
        <v>55</v>
      </c>
      <c r="AN155" s="2">
        <v>1.533</v>
      </c>
      <c r="AO155" s="2" t="s">
        <v>31</v>
      </c>
      <c r="AP155" s="2">
        <v>0.251179245283019</v>
      </c>
      <c r="AQ155" s="2">
        <v>0.748820754716981</v>
      </c>
      <c r="AR155" s="2">
        <v>0.5</v>
      </c>
      <c r="AS155" s="2">
        <v>4.0</v>
      </c>
    </row>
    <row r="156" ht="15.75" customHeight="1">
      <c r="A156" s="2">
        <v>24.0</v>
      </c>
      <c r="B156" s="2">
        <v>1386.67</v>
      </c>
      <c r="C156" s="2" t="s">
        <v>1564</v>
      </c>
      <c r="D156" s="2">
        <v>1535679.103</v>
      </c>
      <c r="E156" s="2">
        <v>5445133.586</v>
      </c>
      <c r="F156" s="2">
        <v>1386.67</v>
      </c>
      <c r="G156" s="2" t="s">
        <v>1402</v>
      </c>
      <c r="H156" s="2" t="s">
        <v>1565</v>
      </c>
      <c r="I156" s="2">
        <v>45339.0</v>
      </c>
      <c r="J156" s="2">
        <v>4.0</v>
      </c>
      <c r="K156" s="2" t="s">
        <v>31</v>
      </c>
      <c r="L156" s="2" t="s">
        <v>329</v>
      </c>
      <c r="M156" s="2">
        <v>4.0</v>
      </c>
      <c r="N156" s="2">
        <v>33.0</v>
      </c>
      <c r="O156" s="2">
        <v>0.0</v>
      </c>
      <c r="P156" s="2">
        <v>0.0</v>
      </c>
      <c r="Q156" s="2">
        <v>0.0</v>
      </c>
      <c r="R156" s="2">
        <v>0.0</v>
      </c>
      <c r="S156" s="2">
        <v>30.0</v>
      </c>
      <c r="T156" s="2">
        <v>2.0</v>
      </c>
      <c r="U156" s="2">
        <v>30.0</v>
      </c>
      <c r="V156" s="2">
        <v>5.0</v>
      </c>
      <c r="W156" s="2">
        <v>100.0</v>
      </c>
      <c r="X156" s="2">
        <v>65.0</v>
      </c>
      <c r="Y156" s="2">
        <v>0.0</v>
      </c>
      <c r="Z156" s="2">
        <v>5.0</v>
      </c>
      <c r="AA156" s="2">
        <v>30.0</v>
      </c>
      <c r="AB156" s="2">
        <v>0.0</v>
      </c>
      <c r="AC156" s="2">
        <v>0.0</v>
      </c>
      <c r="AD156" s="2">
        <v>0.0</v>
      </c>
      <c r="AE156" s="2" t="s">
        <v>33</v>
      </c>
      <c r="AF156" s="2">
        <v>15.0</v>
      </c>
      <c r="AG156" s="2">
        <v>67.0</v>
      </c>
      <c r="AH156" s="2">
        <v>35.0</v>
      </c>
      <c r="AI156" s="2" t="s">
        <v>1568</v>
      </c>
      <c r="AJ156" s="2" t="s">
        <v>1569</v>
      </c>
      <c r="AK156" s="2">
        <v>17.2579795851663</v>
      </c>
      <c r="AL156" s="2">
        <v>233.232970981817</v>
      </c>
      <c r="AM156" s="2" t="s">
        <v>55</v>
      </c>
      <c r="AN156" s="2">
        <v>1.533</v>
      </c>
      <c r="AO156" s="2" t="s">
        <v>31</v>
      </c>
      <c r="AP156" s="2">
        <v>0.669198113207547</v>
      </c>
      <c r="AQ156" s="2">
        <v>0.350707547169811</v>
      </c>
      <c r="AR156" s="2">
        <v>0.330801886792453</v>
      </c>
      <c r="AS156" s="2">
        <v>4.0</v>
      </c>
    </row>
    <row r="157" ht="15.75" customHeight="1">
      <c r="A157" s="2">
        <v>24.0</v>
      </c>
      <c r="B157" s="2">
        <v>1388.81</v>
      </c>
      <c r="C157" s="2" t="s">
        <v>1571</v>
      </c>
      <c r="D157" s="2">
        <v>1535684.186</v>
      </c>
      <c r="E157" s="2">
        <v>5445130.563</v>
      </c>
      <c r="F157" s="2">
        <v>1388.81</v>
      </c>
      <c r="G157" s="2" t="s">
        <v>1402</v>
      </c>
      <c r="H157" s="2" t="s">
        <v>1576</v>
      </c>
      <c r="I157" s="2">
        <v>45339.0</v>
      </c>
      <c r="J157" s="2">
        <v>5.0</v>
      </c>
      <c r="K157" s="2" t="s">
        <v>31</v>
      </c>
      <c r="L157" s="2" t="s">
        <v>329</v>
      </c>
      <c r="M157" s="2">
        <v>3.0</v>
      </c>
      <c r="N157" s="2">
        <v>15.0</v>
      </c>
      <c r="O157" s="2">
        <v>0.0</v>
      </c>
      <c r="P157" s="2">
        <v>15.0</v>
      </c>
      <c r="Q157" s="2">
        <v>0.0</v>
      </c>
      <c r="R157" s="2">
        <v>10.0</v>
      </c>
      <c r="S157" s="2">
        <v>20.0</v>
      </c>
      <c r="T157" s="2">
        <v>10.0</v>
      </c>
      <c r="U157" s="2">
        <v>30.0</v>
      </c>
      <c r="V157" s="2">
        <v>0.0</v>
      </c>
      <c r="W157" s="2">
        <v>100.0</v>
      </c>
      <c r="X157" s="2">
        <v>75.0</v>
      </c>
      <c r="Y157" s="2">
        <v>0.0</v>
      </c>
      <c r="Z157" s="2">
        <v>10.0</v>
      </c>
      <c r="AA157" s="2">
        <v>15.0</v>
      </c>
      <c r="AB157" s="2">
        <v>0.0</v>
      </c>
      <c r="AC157" s="2">
        <v>0.0</v>
      </c>
      <c r="AD157" s="2">
        <v>0.0</v>
      </c>
      <c r="AE157" s="2" t="s">
        <v>33</v>
      </c>
      <c r="AF157" s="2">
        <v>20.0</v>
      </c>
      <c r="AG157" s="2">
        <v>70.0</v>
      </c>
      <c r="AH157" s="2">
        <v>25.0</v>
      </c>
      <c r="AI157" s="2" t="s">
        <v>1578</v>
      </c>
      <c r="AJ157" s="2" t="s">
        <v>1580</v>
      </c>
      <c r="AK157" s="2">
        <v>22.8174876633361</v>
      </c>
      <c r="AL157" s="2">
        <v>232.931008508975</v>
      </c>
      <c r="AM157" s="2" t="s">
        <v>55</v>
      </c>
      <c r="AN157" s="2">
        <v>1.533</v>
      </c>
      <c r="AO157" s="2" t="s">
        <v>31</v>
      </c>
      <c r="AP157" s="2">
        <v>0.699056603773585</v>
      </c>
      <c r="AQ157" s="2">
        <v>0.251179245283019</v>
      </c>
      <c r="AR157" s="2">
        <v>0.151650943396226</v>
      </c>
      <c r="AS157" s="2">
        <v>3.0</v>
      </c>
    </row>
    <row r="158" ht="15.75" customHeight="1">
      <c r="A158" s="2">
        <v>25.0</v>
      </c>
      <c r="B158" s="2">
        <v>1571.76</v>
      </c>
      <c r="C158" s="2" t="s">
        <v>1581</v>
      </c>
      <c r="D158" s="2">
        <v>1540286.686</v>
      </c>
      <c r="E158" s="2">
        <v>5440422.411</v>
      </c>
      <c r="F158" s="2">
        <v>1571.76</v>
      </c>
      <c r="G158" s="2" t="s">
        <v>1477</v>
      </c>
      <c r="H158" s="2" t="s">
        <v>1582</v>
      </c>
      <c r="I158" s="2">
        <v>45741.0</v>
      </c>
      <c r="J158" s="2">
        <v>1.0</v>
      </c>
      <c r="K158" s="2" t="s">
        <v>36</v>
      </c>
      <c r="L158" s="2" t="s">
        <v>1583</v>
      </c>
      <c r="M158" s="2">
        <v>4.0</v>
      </c>
      <c r="N158" s="2">
        <v>8.0</v>
      </c>
      <c r="O158" s="2" t="s">
        <v>33</v>
      </c>
      <c r="P158" s="2">
        <v>90.0</v>
      </c>
      <c r="Q158" s="2" t="s">
        <v>33</v>
      </c>
      <c r="R158" s="2" t="s">
        <v>33</v>
      </c>
      <c r="S158" s="2" t="s">
        <v>33</v>
      </c>
      <c r="T158" s="2" t="s">
        <v>33</v>
      </c>
      <c r="U158" s="2">
        <v>2.0</v>
      </c>
      <c r="V158" s="2" t="s">
        <v>33</v>
      </c>
      <c r="W158" s="2">
        <v>100.0</v>
      </c>
      <c r="X158" s="2">
        <v>0.0</v>
      </c>
      <c r="Y158" s="2" t="s">
        <v>33</v>
      </c>
      <c r="Z158" s="2" t="s">
        <v>33</v>
      </c>
      <c r="AA158" s="2">
        <v>100.0</v>
      </c>
      <c r="AB158" s="2" t="s">
        <v>33</v>
      </c>
      <c r="AC158" s="2" t="s">
        <v>33</v>
      </c>
      <c r="AD158" s="2" t="s">
        <v>33</v>
      </c>
      <c r="AE158" s="2" t="s">
        <v>33</v>
      </c>
      <c r="AF158" s="2">
        <v>0.0</v>
      </c>
      <c r="AG158" s="2" t="s">
        <v>33</v>
      </c>
      <c r="AH158" s="2">
        <v>100.0</v>
      </c>
      <c r="AI158" s="2" t="s">
        <v>1584</v>
      </c>
      <c r="AJ158" s="2" t="s">
        <v>1585</v>
      </c>
      <c r="AK158" s="2">
        <v>2.31287307509404</v>
      </c>
      <c r="AL158" s="2">
        <v>310.327401464938</v>
      </c>
      <c r="AM158" s="2" t="s">
        <v>55</v>
      </c>
      <c r="AN158" s="2">
        <v>1.306</v>
      </c>
      <c r="AO158" s="2" t="s">
        <v>36</v>
      </c>
      <c r="AP158" s="2" t="s">
        <v>33</v>
      </c>
      <c r="AQ158" s="2">
        <v>0.997641509433962</v>
      </c>
      <c r="AR158" s="2">
        <v>0.0819811320754717</v>
      </c>
      <c r="AS158" s="2">
        <v>4.0</v>
      </c>
    </row>
    <row r="159" ht="15.75" customHeight="1">
      <c r="A159" s="2">
        <v>25.0</v>
      </c>
      <c r="B159" s="2">
        <v>1563.05</v>
      </c>
      <c r="C159" s="9">
        <v>45741.75833333333</v>
      </c>
      <c r="D159" s="2">
        <v>1540266.139</v>
      </c>
      <c r="E159" s="2">
        <v>5440426.988</v>
      </c>
      <c r="F159" s="2">
        <v>1563.05</v>
      </c>
      <c r="G159" s="2" t="s">
        <v>1477</v>
      </c>
      <c r="H159" s="2" t="s">
        <v>1601</v>
      </c>
      <c r="I159" s="2">
        <v>45741.0</v>
      </c>
      <c r="J159" s="2">
        <v>2.0</v>
      </c>
      <c r="K159" s="2" t="s">
        <v>36</v>
      </c>
      <c r="L159" s="2" t="s">
        <v>1583</v>
      </c>
      <c r="M159" s="2">
        <v>4.0</v>
      </c>
      <c r="N159" s="2">
        <v>75.0</v>
      </c>
      <c r="O159" s="2" t="s">
        <v>33</v>
      </c>
      <c r="P159" s="2">
        <v>25.0</v>
      </c>
      <c r="Q159" s="2" t="s">
        <v>33</v>
      </c>
      <c r="R159" s="2" t="s">
        <v>33</v>
      </c>
      <c r="S159" s="2" t="s">
        <v>33</v>
      </c>
      <c r="T159" s="2" t="s">
        <v>33</v>
      </c>
      <c r="U159" s="2" t="s">
        <v>33</v>
      </c>
      <c r="V159" s="2" t="s">
        <v>33</v>
      </c>
      <c r="W159" s="2">
        <v>100.0</v>
      </c>
      <c r="X159" s="2">
        <v>0.0</v>
      </c>
      <c r="Y159" s="2" t="s">
        <v>33</v>
      </c>
      <c r="Z159" s="2" t="s">
        <v>33</v>
      </c>
      <c r="AA159" s="2" t="s">
        <v>33</v>
      </c>
      <c r="AB159" s="2">
        <v>98.0</v>
      </c>
      <c r="AC159" s="2">
        <v>2.0</v>
      </c>
      <c r="AD159" s="2" t="s">
        <v>33</v>
      </c>
      <c r="AE159" s="2" t="s">
        <v>33</v>
      </c>
      <c r="AF159" s="2">
        <v>5.0</v>
      </c>
      <c r="AG159" s="2" t="s">
        <v>33</v>
      </c>
      <c r="AH159" s="2">
        <v>100.0</v>
      </c>
      <c r="AI159" s="2" t="s">
        <v>1605</v>
      </c>
      <c r="AJ159" s="2" t="s">
        <v>1606</v>
      </c>
      <c r="AK159" s="2">
        <v>6.35721932624605</v>
      </c>
      <c r="AL159" s="2">
        <v>329.75431111366</v>
      </c>
      <c r="AM159" s="2" t="s">
        <v>55</v>
      </c>
      <c r="AN159" s="2">
        <v>1.306</v>
      </c>
      <c r="AO159" s="2" t="s">
        <v>36</v>
      </c>
      <c r="AP159" s="2" t="s">
        <v>33</v>
      </c>
      <c r="AQ159" s="2">
        <v>0.997641509433962</v>
      </c>
      <c r="AR159" s="2">
        <v>0.748820754716981</v>
      </c>
      <c r="AS159" s="2">
        <v>4.0</v>
      </c>
    </row>
    <row r="160" ht="15.75" customHeight="1">
      <c r="A160" s="2">
        <v>25.0</v>
      </c>
      <c r="B160" s="2">
        <v>1560.33</v>
      </c>
      <c r="C160" s="9">
        <v>45741.759722222225</v>
      </c>
      <c r="D160" s="2">
        <v>1540256.016</v>
      </c>
      <c r="E160" s="2">
        <v>5440431.116</v>
      </c>
      <c r="F160" s="2">
        <v>1560.33</v>
      </c>
      <c r="G160" s="2" t="s">
        <v>1477</v>
      </c>
      <c r="H160" s="2" t="s">
        <v>1607</v>
      </c>
      <c r="I160" s="2">
        <v>45741.0</v>
      </c>
      <c r="J160" s="2">
        <v>3.0</v>
      </c>
      <c r="K160" s="2" t="s">
        <v>36</v>
      </c>
      <c r="L160" s="2" t="s">
        <v>1583</v>
      </c>
      <c r="M160" s="2">
        <v>4.0</v>
      </c>
      <c r="N160" s="2">
        <v>60.0</v>
      </c>
      <c r="O160" s="2" t="s">
        <v>33</v>
      </c>
      <c r="P160" s="2">
        <v>40.0</v>
      </c>
      <c r="Q160" s="2" t="s">
        <v>33</v>
      </c>
      <c r="R160" s="2" t="s">
        <v>33</v>
      </c>
      <c r="S160" s="2" t="s">
        <v>33</v>
      </c>
      <c r="T160" s="2" t="s">
        <v>33</v>
      </c>
      <c r="U160" s="2" t="s">
        <v>33</v>
      </c>
      <c r="V160" s="2" t="s">
        <v>33</v>
      </c>
      <c r="W160" s="2">
        <v>100.0</v>
      </c>
      <c r="X160" s="2">
        <v>0.0</v>
      </c>
      <c r="Y160" s="2" t="s">
        <v>33</v>
      </c>
      <c r="Z160" s="2" t="s">
        <v>33</v>
      </c>
      <c r="AA160" s="2" t="s">
        <v>33</v>
      </c>
      <c r="AB160" s="2">
        <v>40.0</v>
      </c>
      <c r="AC160" s="2">
        <v>60.0</v>
      </c>
      <c r="AD160" s="2" t="s">
        <v>33</v>
      </c>
      <c r="AE160" s="2" t="s">
        <v>33</v>
      </c>
      <c r="AF160" s="2">
        <v>10.0</v>
      </c>
      <c r="AG160" s="2" t="s">
        <v>33</v>
      </c>
      <c r="AH160" s="2">
        <v>100.0</v>
      </c>
      <c r="AI160" s="2" t="s">
        <v>1611</v>
      </c>
      <c r="AJ160" s="2" t="s">
        <v>1612</v>
      </c>
      <c r="AK160" s="2">
        <v>8.72465380823664</v>
      </c>
      <c r="AL160" s="2">
        <v>339.117644667648</v>
      </c>
      <c r="AM160" s="2" t="s">
        <v>55</v>
      </c>
      <c r="AN160" s="2">
        <v>1.306</v>
      </c>
      <c r="AO160" s="2" t="s">
        <v>36</v>
      </c>
      <c r="AP160" s="2" t="s">
        <v>33</v>
      </c>
      <c r="AQ160" s="2">
        <v>0.997641509433962</v>
      </c>
      <c r="AR160" s="2">
        <v>0.599528301886792</v>
      </c>
      <c r="AS160" s="2">
        <v>4.0</v>
      </c>
    </row>
    <row r="161" ht="15.75" customHeight="1">
      <c r="A161" s="2">
        <v>25.0</v>
      </c>
      <c r="B161" s="2">
        <v>1560.33</v>
      </c>
      <c r="C161" s="9">
        <v>45741.759722222225</v>
      </c>
      <c r="D161" s="2">
        <v>1540256.016</v>
      </c>
      <c r="E161" s="2">
        <v>5440431.116</v>
      </c>
      <c r="F161" s="2">
        <v>1560.33</v>
      </c>
      <c r="G161" s="2" t="s">
        <v>1477</v>
      </c>
      <c r="H161" s="2" t="s">
        <v>1616</v>
      </c>
      <c r="I161" s="2">
        <v>45741.0</v>
      </c>
      <c r="J161" s="2">
        <v>4.0</v>
      </c>
      <c r="K161" s="2" t="s">
        <v>36</v>
      </c>
      <c r="L161" s="2" t="s">
        <v>1583</v>
      </c>
      <c r="M161" s="2">
        <v>4.0</v>
      </c>
      <c r="N161" s="2" t="s">
        <v>33</v>
      </c>
      <c r="O161" s="2" t="s">
        <v>33</v>
      </c>
      <c r="P161" s="2">
        <v>100.0</v>
      </c>
      <c r="Q161" s="2" t="s">
        <v>33</v>
      </c>
      <c r="R161" s="2" t="s">
        <v>33</v>
      </c>
      <c r="S161" s="2" t="s">
        <v>33</v>
      </c>
      <c r="T161" s="2" t="s">
        <v>33</v>
      </c>
      <c r="U161" s="2" t="s">
        <v>33</v>
      </c>
      <c r="V161" s="2" t="s">
        <v>33</v>
      </c>
      <c r="W161" s="2">
        <v>100.0</v>
      </c>
      <c r="X161" s="2">
        <v>0.0</v>
      </c>
      <c r="Y161" s="2">
        <v>10.0</v>
      </c>
      <c r="Z161" s="2" t="s">
        <v>33</v>
      </c>
      <c r="AA161" s="2">
        <v>90.0</v>
      </c>
      <c r="AB161" s="2" t="s">
        <v>33</v>
      </c>
      <c r="AC161" s="2" t="s">
        <v>33</v>
      </c>
      <c r="AD161" s="2" t="s">
        <v>33</v>
      </c>
      <c r="AE161" s="2" t="s">
        <v>33</v>
      </c>
      <c r="AF161" s="2">
        <v>15.0</v>
      </c>
      <c r="AG161" s="2" t="s">
        <v>33</v>
      </c>
      <c r="AH161" s="2">
        <v>100.0</v>
      </c>
      <c r="AI161" s="2" t="s">
        <v>1611</v>
      </c>
      <c r="AJ161" s="2" t="s">
        <v>1612</v>
      </c>
      <c r="AK161" s="2">
        <v>8.72465380823664</v>
      </c>
      <c r="AL161" s="2">
        <v>339.117644667648</v>
      </c>
      <c r="AM161" s="2" t="s">
        <v>55</v>
      </c>
      <c r="AN161" s="2">
        <v>1.306</v>
      </c>
      <c r="AO161" s="2" t="s">
        <v>36</v>
      </c>
      <c r="AP161" s="2" t="s">
        <v>33</v>
      </c>
      <c r="AQ161" s="2">
        <v>0.997641509433962</v>
      </c>
      <c r="AR161" s="2" t="s">
        <v>33</v>
      </c>
      <c r="AS161" s="2">
        <v>4.0</v>
      </c>
    </row>
    <row r="162" ht="15.75" customHeight="1">
      <c r="A162" s="2">
        <v>25.0</v>
      </c>
      <c r="B162" s="2">
        <v>1558.03</v>
      </c>
      <c r="C162" s="9">
        <v>45741.76180555556</v>
      </c>
      <c r="D162" s="2">
        <v>1540254.443</v>
      </c>
      <c r="E162" s="2">
        <v>5440430.628</v>
      </c>
      <c r="F162" s="2">
        <v>1558.03</v>
      </c>
      <c r="G162" s="2" t="s">
        <v>1477</v>
      </c>
      <c r="H162" s="2" t="s">
        <v>1618</v>
      </c>
      <c r="I162" s="2">
        <v>45741.0</v>
      </c>
      <c r="J162" s="2">
        <v>5.0</v>
      </c>
      <c r="K162" s="2" t="s">
        <v>36</v>
      </c>
      <c r="L162" s="2" t="s">
        <v>1583</v>
      </c>
      <c r="M162" s="2">
        <v>2.0</v>
      </c>
      <c r="N162" s="2" t="s">
        <v>33</v>
      </c>
      <c r="O162" s="2" t="s">
        <v>33</v>
      </c>
      <c r="P162" s="2">
        <v>60.0</v>
      </c>
      <c r="Q162" s="2">
        <v>30.0</v>
      </c>
      <c r="R162" s="2" t="s">
        <v>33</v>
      </c>
      <c r="S162" s="2" t="s">
        <v>33</v>
      </c>
      <c r="T162" s="2" t="s">
        <v>33</v>
      </c>
      <c r="U162" s="2">
        <v>10.0</v>
      </c>
      <c r="V162" s="2" t="s">
        <v>33</v>
      </c>
      <c r="W162" s="2">
        <v>100.0</v>
      </c>
      <c r="X162" s="2">
        <v>100.0</v>
      </c>
      <c r="Y162" s="2" t="s">
        <v>33</v>
      </c>
      <c r="Z162" s="2" t="s">
        <v>33</v>
      </c>
      <c r="AA162" s="2" t="s">
        <v>33</v>
      </c>
      <c r="AB162" s="2" t="s">
        <v>33</v>
      </c>
      <c r="AC162" s="2" t="s">
        <v>33</v>
      </c>
      <c r="AD162" s="2">
        <v>50.0</v>
      </c>
      <c r="AE162" s="2" t="s">
        <v>33</v>
      </c>
      <c r="AF162" s="2">
        <v>20.0</v>
      </c>
      <c r="AG162" s="2" t="s">
        <v>33</v>
      </c>
      <c r="AH162" s="2">
        <v>0.0</v>
      </c>
      <c r="AI162" s="2" t="s">
        <v>1623</v>
      </c>
      <c r="AJ162" s="2" t="s">
        <v>1624</v>
      </c>
      <c r="AK162" s="2">
        <v>9.81374587195072</v>
      </c>
      <c r="AL162" s="2">
        <v>340.745201724217</v>
      </c>
      <c r="AM162" s="2" t="s">
        <v>55</v>
      </c>
      <c r="AN162" s="2">
        <v>1.306</v>
      </c>
      <c r="AO162" s="2" t="s">
        <v>36</v>
      </c>
      <c r="AP162" s="2" t="s">
        <v>33</v>
      </c>
      <c r="AQ162" s="2">
        <v>0.00235849056603774</v>
      </c>
      <c r="AR162" s="2" t="s">
        <v>33</v>
      </c>
      <c r="AS162" s="2">
        <v>2.0</v>
      </c>
    </row>
    <row r="163" ht="15.75" customHeight="1">
      <c r="A163" s="2">
        <v>25.0</v>
      </c>
      <c r="B163" s="2">
        <v>1563.87</v>
      </c>
      <c r="C163" s="9">
        <v>45741.76180555556</v>
      </c>
      <c r="D163" s="2">
        <v>1540244.959</v>
      </c>
      <c r="E163" s="2">
        <v>5440422.472</v>
      </c>
      <c r="F163" s="2">
        <v>1563.87</v>
      </c>
      <c r="G163" s="2" t="s">
        <v>1477</v>
      </c>
      <c r="H163" s="2" t="s">
        <v>1628</v>
      </c>
      <c r="I163" s="2">
        <v>45741.0</v>
      </c>
      <c r="J163" s="2">
        <v>6.0</v>
      </c>
      <c r="K163" s="2" t="s">
        <v>36</v>
      </c>
      <c r="L163" s="2" t="s">
        <v>1583</v>
      </c>
      <c r="M163" s="2">
        <v>1.0</v>
      </c>
      <c r="N163" s="2" t="s">
        <v>33</v>
      </c>
      <c r="O163" s="2" t="s">
        <v>33</v>
      </c>
      <c r="P163" s="2">
        <v>10.0</v>
      </c>
      <c r="Q163" s="2">
        <v>10.0</v>
      </c>
      <c r="R163" s="2">
        <v>60.0</v>
      </c>
      <c r="S163" s="2" t="s">
        <v>33</v>
      </c>
      <c r="T163" s="2" t="s">
        <v>33</v>
      </c>
      <c r="U163" s="2">
        <v>20.0</v>
      </c>
      <c r="V163" s="2" t="s">
        <v>33</v>
      </c>
      <c r="W163" s="2">
        <v>100.0</v>
      </c>
      <c r="X163" s="2">
        <v>100.0</v>
      </c>
      <c r="Y163" s="2" t="s">
        <v>33</v>
      </c>
      <c r="Z163" s="2" t="s">
        <v>33</v>
      </c>
      <c r="AA163" s="2" t="s">
        <v>33</v>
      </c>
      <c r="AB163" s="2" t="s">
        <v>33</v>
      </c>
      <c r="AC163" s="2" t="s">
        <v>33</v>
      </c>
      <c r="AD163" s="2" t="s">
        <v>33</v>
      </c>
      <c r="AE163" s="2" t="s">
        <v>33</v>
      </c>
      <c r="AF163" s="2">
        <v>25.0</v>
      </c>
      <c r="AG163" s="2" t="s">
        <v>33</v>
      </c>
      <c r="AH163" s="2">
        <v>0.0</v>
      </c>
      <c r="AI163" s="2" t="s">
        <v>1631</v>
      </c>
      <c r="AJ163" s="2" t="s">
        <v>1632</v>
      </c>
      <c r="AK163" s="2">
        <v>19.7763488841594</v>
      </c>
      <c r="AL163" s="2">
        <v>351.388542399979</v>
      </c>
      <c r="AM163" s="2" t="s">
        <v>55</v>
      </c>
      <c r="AN163" s="2">
        <v>1.306</v>
      </c>
      <c r="AO163" s="2" t="s">
        <v>36</v>
      </c>
      <c r="AP163" s="2" t="s">
        <v>33</v>
      </c>
      <c r="AQ163" s="2">
        <v>0.00235849056603774</v>
      </c>
      <c r="AR163" s="2" t="s">
        <v>33</v>
      </c>
      <c r="AS163" s="2">
        <v>1.0</v>
      </c>
    </row>
    <row r="164" ht="15.75" customHeight="1">
      <c r="A164" s="2">
        <v>25.0</v>
      </c>
      <c r="B164" s="2">
        <v>1560.39</v>
      </c>
      <c r="C164" s="9">
        <v>45741.76388888889</v>
      </c>
      <c r="D164" s="2">
        <v>1540247.348</v>
      </c>
      <c r="E164" s="2">
        <v>5440416.108</v>
      </c>
      <c r="F164" s="2">
        <v>1560.39</v>
      </c>
      <c r="G164" s="2" t="s">
        <v>1477</v>
      </c>
      <c r="H164" s="2" t="s">
        <v>1636</v>
      </c>
      <c r="I164" s="2">
        <v>45741.0</v>
      </c>
      <c r="J164" s="2">
        <v>7.0</v>
      </c>
      <c r="K164" s="2" t="s">
        <v>36</v>
      </c>
      <c r="L164" s="2" t="s">
        <v>1583</v>
      </c>
      <c r="M164" s="2">
        <v>1.0</v>
      </c>
      <c r="N164" s="2" t="s">
        <v>33</v>
      </c>
      <c r="O164" s="2" t="s">
        <v>33</v>
      </c>
      <c r="P164" s="2">
        <v>30.0</v>
      </c>
      <c r="Q164" s="2">
        <v>20.0</v>
      </c>
      <c r="R164" s="2">
        <v>30.0</v>
      </c>
      <c r="S164" s="2" t="s">
        <v>33</v>
      </c>
      <c r="T164" s="2" t="s">
        <v>33</v>
      </c>
      <c r="U164" s="2">
        <v>20.0</v>
      </c>
      <c r="V164" s="2" t="s">
        <v>33</v>
      </c>
      <c r="W164" s="2">
        <v>100.0</v>
      </c>
      <c r="X164" s="2">
        <v>100.0</v>
      </c>
      <c r="Y164" s="2" t="s">
        <v>33</v>
      </c>
      <c r="Z164" s="2" t="s">
        <v>33</v>
      </c>
      <c r="AA164" s="2" t="s">
        <v>33</v>
      </c>
      <c r="AB164" s="2" t="s">
        <v>33</v>
      </c>
      <c r="AC164" s="2" t="s">
        <v>33</v>
      </c>
      <c r="AD164" s="2" t="s">
        <v>33</v>
      </c>
      <c r="AE164" s="2" t="s">
        <v>33</v>
      </c>
      <c r="AF164" s="2">
        <v>30.0</v>
      </c>
      <c r="AG164" s="2" t="s">
        <v>33</v>
      </c>
      <c r="AH164" s="2">
        <v>0.0</v>
      </c>
      <c r="AI164" s="2" t="s">
        <v>1642</v>
      </c>
      <c r="AJ164" s="2" t="s">
        <v>1643</v>
      </c>
      <c r="AK164" s="2">
        <v>25.4982891629151</v>
      </c>
      <c r="AL164" s="2">
        <v>350.151114253562</v>
      </c>
      <c r="AM164" s="2" t="s">
        <v>55</v>
      </c>
      <c r="AN164" s="2">
        <v>1.306</v>
      </c>
      <c r="AO164" s="2" t="s">
        <v>36</v>
      </c>
      <c r="AP164" s="2" t="s">
        <v>33</v>
      </c>
      <c r="AQ164" s="2">
        <v>0.00235849056603774</v>
      </c>
      <c r="AR164" s="2" t="s">
        <v>33</v>
      </c>
      <c r="AS164" s="2">
        <v>1.0</v>
      </c>
    </row>
    <row r="165" ht="15.75" customHeight="1">
      <c r="A165" s="2">
        <v>26.0</v>
      </c>
      <c r="B165" s="2">
        <v>1577.18</v>
      </c>
      <c r="C165" s="2" t="s">
        <v>1644</v>
      </c>
      <c r="D165" s="2">
        <v>1540673.696</v>
      </c>
      <c r="E165" s="2">
        <v>5440491.346</v>
      </c>
      <c r="F165" s="2">
        <v>1577.18</v>
      </c>
      <c r="G165" s="2" t="s">
        <v>1455</v>
      </c>
      <c r="H165" s="2" t="s">
        <v>1645</v>
      </c>
      <c r="I165" s="2">
        <v>45741.0</v>
      </c>
      <c r="J165" s="2">
        <v>1.0</v>
      </c>
      <c r="K165" s="2" t="s">
        <v>36</v>
      </c>
      <c r="L165" s="2" t="s">
        <v>1423</v>
      </c>
      <c r="M165" s="2">
        <v>3.0</v>
      </c>
      <c r="N165" s="2" t="s">
        <v>33</v>
      </c>
      <c r="O165" s="2" t="s">
        <v>33</v>
      </c>
      <c r="P165" s="2">
        <v>65.0</v>
      </c>
      <c r="Q165" s="2" t="s">
        <v>33</v>
      </c>
      <c r="R165" s="2" t="s">
        <v>33</v>
      </c>
      <c r="S165" s="2">
        <v>20.0</v>
      </c>
      <c r="T165" s="2" t="s">
        <v>33</v>
      </c>
      <c r="U165" s="2">
        <v>15.0</v>
      </c>
      <c r="V165" s="2" t="s">
        <v>33</v>
      </c>
      <c r="W165" s="2">
        <v>100.0</v>
      </c>
      <c r="X165" s="2">
        <v>70.0</v>
      </c>
      <c r="Y165" s="2" t="s">
        <v>33</v>
      </c>
      <c r="Z165" s="2" t="s">
        <v>33</v>
      </c>
      <c r="AA165" s="2">
        <v>30.0</v>
      </c>
      <c r="AB165" s="2" t="s">
        <v>33</v>
      </c>
      <c r="AC165" s="2" t="s">
        <v>33</v>
      </c>
      <c r="AD165" s="2" t="s">
        <v>33</v>
      </c>
      <c r="AE165" s="2" t="s">
        <v>33</v>
      </c>
      <c r="AF165" s="2">
        <v>0.0</v>
      </c>
      <c r="AG165" s="2" t="s">
        <v>33</v>
      </c>
      <c r="AH165" s="2">
        <v>30.0</v>
      </c>
      <c r="AI165" s="2" t="s">
        <v>1648</v>
      </c>
      <c r="AJ165" s="2" t="s">
        <v>1649</v>
      </c>
      <c r="AK165" s="2">
        <v>22.9962054024261</v>
      </c>
      <c r="AL165" s="2">
        <v>59.6688838173271</v>
      </c>
      <c r="AM165" s="2" t="s">
        <v>55</v>
      </c>
      <c r="AN165" s="2">
        <v>1.132</v>
      </c>
      <c r="AO165" s="2" t="s">
        <v>36</v>
      </c>
      <c r="AP165" s="2" t="s">
        <v>33</v>
      </c>
      <c r="AQ165" s="2">
        <v>0.300943396226415</v>
      </c>
      <c r="AR165" s="2" t="s">
        <v>33</v>
      </c>
      <c r="AS165" s="2">
        <v>3.0</v>
      </c>
    </row>
    <row r="166" ht="15.75" customHeight="1">
      <c r="A166" s="2">
        <v>26.0</v>
      </c>
      <c r="B166" s="2">
        <v>1577.18</v>
      </c>
      <c r="C166" s="9">
        <v>45741.7875</v>
      </c>
      <c r="D166" s="2">
        <v>1540673.696</v>
      </c>
      <c r="E166" s="2">
        <v>5440491.346</v>
      </c>
      <c r="F166" s="2">
        <v>1577.18</v>
      </c>
      <c r="G166" s="2" t="s">
        <v>1455</v>
      </c>
      <c r="H166" s="2" t="s">
        <v>1650</v>
      </c>
      <c r="I166" s="2">
        <v>45741.0</v>
      </c>
      <c r="J166" s="2">
        <v>2.0</v>
      </c>
      <c r="K166" s="2" t="s">
        <v>36</v>
      </c>
      <c r="L166" s="2" t="s">
        <v>1423</v>
      </c>
      <c r="M166" s="2">
        <v>3.0</v>
      </c>
      <c r="N166" s="2" t="s">
        <v>33</v>
      </c>
      <c r="O166" s="2" t="s">
        <v>33</v>
      </c>
      <c r="P166" s="2">
        <v>65.0</v>
      </c>
      <c r="Q166" s="2" t="s">
        <v>33</v>
      </c>
      <c r="R166" s="2">
        <v>10.0</v>
      </c>
      <c r="S166" s="2">
        <v>5.0</v>
      </c>
      <c r="T166" s="2" t="s">
        <v>33</v>
      </c>
      <c r="U166" s="2">
        <v>20.0</v>
      </c>
      <c r="V166" s="2" t="s">
        <v>33</v>
      </c>
      <c r="W166" s="2">
        <v>100.0</v>
      </c>
      <c r="X166" s="2">
        <v>70.0</v>
      </c>
      <c r="Y166" s="2" t="s">
        <v>33</v>
      </c>
      <c r="Z166" s="2" t="s">
        <v>33</v>
      </c>
      <c r="AA166" s="2">
        <v>30.0</v>
      </c>
      <c r="AB166" s="2" t="s">
        <v>33</v>
      </c>
      <c r="AC166" s="2" t="s">
        <v>33</v>
      </c>
      <c r="AD166" s="2" t="s">
        <v>33</v>
      </c>
      <c r="AE166" s="2" t="s">
        <v>33</v>
      </c>
      <c r="AF166" s="2">
        <v>5.0</v>
      </c>
      <c r="AG166" s="2" t="s">
        <v>33</v>
      </c>
      <c r="AH166" s="2">
        <v>30.0</v>
      </c>
      <c r="AI166" s="2" t="s">
        <v>1648</v>
      </c>
      <c r="AJ166" s="2" t="s">
        <v>1649</v>
      </c>
      <c r="AK166" s="2">
        <v>22.9962054024261</v>
      </c>
      <c r="AL166" s="2">
        <v>59.6688838173271</v>
      </c>
      <c r="AM166" s="2" t="s">
        <v>55</v>
      </c>
      <c r="AN166" s="2">
        <v>1.132</v>
      </c>
      <c r="AO166" s="2" t="s">
        <v>36</v>
      </c>
      <c r="AP166" s="2" t="s">
        <v>33</v>
      </c>
      <c r="AQ166" s="2">
        <v>0.300943396226415</v>
      </c>
      <c r="AR166" s="2" t="s">
        <v>33</v>
      </c>
      <c r="AS166" s="2">
        <v>3.0</v>
      </c>
    </row>
    <row r="167" ht="15.75" customHeight="1">
      <c r="A167" s="2">
        <v>26.0</v>
      </c>
      <c r="B167" s="2">
        <v>1571.3</v>
      </c>
      <c r="C167" s="9">
        <v>45741.78958333333</v>
      </c>
      <c r="D167" s="2">
        <v>1540692.858</v>
      </c>
      <c r="E167" s="2">
        <v>5440461.115</v>
      </c>
      <c r="F167" s="2">
        <v>1571.3</v>
      </c>
      <c r="G167" s="2" t="s">
        <v>1455</v>
      </c>
      <c r="H167" s="2" t="s">
        <v>1654</v>
      </c>
      <c r="I167" s="2">
        <v>45741.0</v>
      </c>
      <c r="J167" s="2">
        <v>3.0</v>
      </c>
      <c r="K167" s="2" t="s">
        <v>36</v>
      </c>
      <c r="L167" s="2" t="s">
        <v>1423</v>
      </c>
      <c r="M167" s="2">
        <v>4.0</v>
      </c>
      <c r="N167" s="2" t="s">
        <v>33</v>
      </c>
      <c r="O167" s="2" t="s">
        <v>33</v>
      </c>
      <c r="P167" s="2">
        <v>90.0</v>
      </c>
      <c r="Q167" s="2" t="s">
        <v>33</v>
      </c>
      <c r="R167" s="2">
        <v>5.0</v>
      </c>
      <c r="S167" s="2">
        <v>5.0</v>
      </c>
      <c r="T167" s="2" t="s">
        <v>33</v>
      </c>
      <c r="U167" s="2" t="s">
        <v>33</v>
      </c>
      <c r="V167" s="2" t="s">
        <v>33</v>
      </c>
      <c r="W167" s="2">
        <v>100.0</v>
      </c>
      <c r="X167" s="2">
        <v>50.0</v>
      </c>
      <c r="Y167" s="2" t="s">
        <v>33</v>
      </c>
      <c r="Z167" s="2" t="s">
        <v>33</v>
      </c>
      <c r="AA167" s="2">
        <v>50.0</v>
      </c>
      <c r="AB167" s="2" t="s">
        <v>33</v>
      </c>
      <c r="AC167" s="2" t="s">
        <v>33</v>
      </c>
      <c r="AD167" s="2" t="s">
        <v>33</v>
      </c>
      <c r="AE167" s="2" t="s">
        <v>33</v>
      </c>
      <c r="AF167" s="2">
        <v>10.0</v>
      </c>
      <c r="AG167" s="2" t="s">
        <v>33</v>
      </c>
      <c r="AH167" s="2">
        <v>50.0</v>
      </c>
      <c r="AI167" s="2" t="s">
        <v>1656</v>
      </c>
      <c r="AJ167" s="2" t="s">
        <v>1657</v>
      </c>
      <c r="AK167" s="2">
        <v>12.5980374778218</v>
      </c>
      <c r="AL167" s="2">
        <v>48.1578122116669</v>
      </c>
      <c r="AM167" s="2" t="s">
        <v>55</v>
      </c>
      <c r="AN167" s="2">
        <v>1.132</v>
      </c>
      <c r="AO167" s="2" t="s">
        <v>36</v>
      </c>
      <c r="AP167" s="2" t="s">
        <v>33</v>
      </c>
      <c r="AQ167" s="2">
        <v>0.5</v>
      </c>
      <c r="AR167" s="2" t="s">
        <v>33</v>
      </c>
      <c r="AS167" s="2">
        <v>4.0</v>
      </c>
    </row>
    <row r="168" ht="15.75" customHeight="1">
      <c r="A168" s="2">
        <v>26.0</v>
      </c>
      <c r="B168" s="2">
        <v>1571.3</v>
      </c>
      <c r="C168" s="9">
        <v>45741.78958333333</v>
      </c>
      <c r="D168" s="2">
        <v>1540692.858</v>
      </c>
      <c r="E168" s="2">
        <v>5440461.115</v>
      </c>
      <c r="F168" s="2">
        <v>1571.3</v>
      </c>
      <c r="G168" s="2" t="s">
        <v>1455</v>
      </c>
      <c r="H168" s="2" t="s">
        <v>1659</v>
      </c>
      <c r="I168" s="2">
        <v>45741.0</v>
      </c>
      <c r="J168" s="2">
        <v>4.0</v>
      </c>
      <c r="K168" s="2" t="s">
        <v>36</v>
      </c>
      <c r="L168" s="2" t="s">
        <v>1423</v>
      </c>
      <c r="M168" s="2">
        <v>4.0</v>
      </c>
      <c r="N168" s="2" t="s">
        <v>33</v>
      </c>
      <c r="O168" s="2" t="s">
        <v>33</v>
      </c>
      <c r="P168" s="2">
        <v>98.0</v>
      </c>
      <c r="Q168" s="2" t="s">
        <v>33</v>
      </c>
      <c r="R168" s="2" t="s">
        <v>33</v>
      </c>
      <c r="S168" s="2">
        <v>2.0</v>
      </c>
      <c r="T168" s="2" t="s">
        <v>33</v>
      </c>
      <c r="U168" s="2" t="s">
        <v>33</v>
      </c>
      <c r="V168" s="2" t="s">
        <v>33</v>
      </c>
      <c r="W168" s="2">
        <v>100.0</v>
      </c>
      <c r="X168" s="2">
        <v>50.0</v>
      </c>
      <c r="Y168" s="2" t="s">
        <v>33</v>
      </c>
      <c r="Z168" s="2" t="s">
        <v>33</v>
      </c>
      <c r="AA168" s="2" t="s">
        <v>33</v>
      </c>
      <c r="AB168" s="2" t="s">
        <v>33</v>
      </c>
      <c r="AC168" s="2">
        <v>50.0</v>
      </c>
      <c r="AD168" s="2" t="s">
        <v>33</v>
      </c>
      <c r="AE168" s="2" t="s">
        <v>33</v>
      </c>
      <c r="AF168" s="2">
        <v>15.0</v>
      </c>
      <c r="AG168" s="2" t="s">
        <v>33</v>
      </c>
      <c r="AH168" s="2">
        <v>50.0</v>
      </c>
      <c r="AI168" s="2" t="s">
        <v>1656</v>
      </c>
      <c r="AJ168" s="2" t="s">
        <v>1657</v>
      </c>
      <c r="AK168" s="2">
        <v>12.5980374778218</v>
      </c>
      <c r="AL168" s="2">
        <v>48.1578122116669</v>
      </c>
      <c r="AM168" s="2" t="s">
        <v>55</v>
      </c>
      <c r="AN168" s="2">
        <v>1.132</v>
      </c>
      <c r="AO168" s="2" t="s">
        <v>36</v>
      </c>
      <c r="AP168" s="2" t="s">
        <v>33</v>
      </c>
      <c r="AQ168" s="2">
        <v>0.5</v>
      </c>
      <c r="AR168" s="2" t="s">
        <v>33</v>
      </c>
      <c r="AS168" s="2">
        <v>4.0</v>
      </c>
    </row>
    <row r="169" ht="15.75" customHeight="1">
      <c r="A169" s="2">
        <v>26.0</v>
      </c>
      <c r="B169" s="2">
        <v>1574.8</v>
      </c>
      <c r="C169" s="9">
        <v>45741.790972222225</v>
      </c>
      <c r="D169" s="2">
        <v>1540689.902</v>
      </c>
      <c r="E169" s="2">
        <v>5440442.822</v>
      </c>
      <c r="F169" s="2">
        <v>1574.8</v>
      </c>
      <c r="G169" s="2" t="s">
        <v>1455</v>
      </c>
      <c r="H169" s="2" t="s">
        <v>1667</v>
      </c>
      <c r="I169" s="2">
        <v>45741.0</v>
      </c>
      <c r="J169" s="2">
        <v>5.0</v>
      </c>
      <c r="K169" s="2" t="s">
        <v>36</v>
      </c>
      <c r="L169" s="2" t="s">
        <v>1423</v>
      </c>
      <c r="M169" s="2">
        <v>4.0</v>
      </c>
      <c r="N169" s="2" t="s">
        <v>33</v>
      </c>
      <c r="O169" s="2" t="s">
        <v>33</v>
      </c>
      <c r="P169" s="2">
        <v>96.0</v>
      </c>
      <c r="Q169" s="2" t="s">
        <v>33</v>
      </c>
      <c r="R169" s="2" t="s">
        <v>33</v>
      </c>
      <c r="S169" s="2" t="s">
        <v>33</v>
      </c>
      <c r="T169" s="2">
        <v>2.0</v>
      </c>
      <c r="U169" s="2">
        <v>2.0</v>
      </c>
      <c r="V169" s="2" t="s">
        <v>33</v>
      </c>
      <c r="W169" s="2">
        <v>100.0</v>
      </c>
      <c r="X169" s="2">
        <v>40.0</v>
      </c>
      <c r="Y169" s="2" t="s">
        <v>33</v>
      </c>
      <c r="Z169" s="2" t="s">
        <v>33</v>
      </c>
      <c r="AA169" s="2">
        <v>60.0</v>
      </c>
      <c r="AB169" s="2" t="s">
        <v>33</v>
      </c>
      <c r="AC169" s="2" t="s">
        <v>33</v>
      </c>
      <c r="AD169" s="2" t="s">
        <v>33</v>
      </c>
      <c r="AE169" s="2" t="s">
        <v>33</v>
      </c>
      <c r="AF169" s="2">
        <v>20.0</v>
      </c>
      <c r="AG169" s="2" t="s">
        <v>33</v>
      </c>
      <c r="AH169" s="2">
        <v>60.0</v>
      </c>
      <c r="AI169" s="2" t="s">
        <v>1672</v>
      </c>
      <c r="AJ169" s="2" t="s">
        <v>1674</v>
      </c>
      <c r="AK169" s="2">
        <v>25.7642486770274</v>
      </c>
      <c r="AL169" s="2">
        <v>62.1422306975553</v>
      </c>
      <c r="AM169" s="2" t="s">
        <v>55</v>
      </c>
      <c r="AN169" s="2">
        <v>1.132</v>
      </c>
      <c r="AO169" s="2" t="s">
        <v>36</v>
      </c>
      <c r="AP169" s="2" t="s">
        <v>33</v>
      </c>
      <c r="AQ169" s="2">
        <v>0.599528301886792</v>
      </c>
      <c r="AR169" s="2" t="s">
        <v>33</v>
      </c>
      <c r="AS169" s="2">
        <v>4.0</v>
      </c>
    </row>
    <row r="170" ht="15.75" customHeight="1">
      <c r="A170" s="2">
        <v>26.0</v>
      </c>
      <c r="B170" s="2">
        <v>1574.8</v>
      </c>
      <c r="C170" s="9">
        <v>45741.790972222225</v>
      </c>
      <c r="D170" s="2">
        <v>1540689.902</v>
      </c>
      <c r="E170" s="2">
        <v>5440442.822</v>
      </c>
      <c r="F170" s="2">
        <v>1574.8</v>
      </c>
      <c r="G170" s="2" t="s">
        <v>1455</v>
      </c>
      <c r="H170" s="2" t="s">
        <v>1676</v>
      </c>
      <c r="I170" s="2">
        <v>45741.0</v>
      </c>
      <c r="J170" s="2">
        <v>6.0</v>
      </c>
      <c r="K170" s="2" t="s">
        <v>36</v>
      </c>
      <c r="L170" s="2" t="s">
        <v>1423</v>
      </c>
      <c r="M170" s="2">
        <v>2.0</v>
      </c>
      <c r="N170" s="2" t="s">
        <v>33</v>
      </c>
      <c r="O170" s="2" t="s">
        <v>33</v>
      </c>
      <c r="P170" s="2">
        <v>30.0</v>
      </c>
      <c r="Q170" s="2" t="s">
        <v>33</v>
      </c>
      <c r="R170" s="2">
        <v>70.0</v>
      </c>
      <c r="S170" s="2" t="s">
        <v>33</v>
      </c>
      <c r="T170" s="2" t="s">
        <v>33</v>
      </c>
      <c r="U170" s="2" t="s">
        <v>33</v>
      </c>
      <c r="V170" s="2" t="s">
        <v>33</v>
      </c>
      <c r="W170" s="2">
        <v>100.0</v>
      </c>
      <c r="X170" s="2">
        <v>100.0</v>
      </c>
      <c r="Y170" s="2" t="s">
        <v>33</v>
      </c>
      <c r="Z170" s="2" t="s">
        <v>33</v>
      </c>
      <c r="AA170" s="2" t="s">
        <v>33</v>
      </c>
      <c r="AB170" s="2" t="s">
        <v>33</v>
      </c>
      <c r="AC170" s="2" t="s">
        <v>33</v>
      </c>
      <c r="AD170" s="2" t="s">
        <v>33</v>
      </c>
      <c r="AE170" s="2" t="s">
        <v>33</v>
      </c>
      <c r="AF170" s="2">
        <v>25.0</v>
      </c>
      <c r="AG170" s="2" t="s">
        <v>33</v>
      </c>
      <c r="AH170" s="2">
        <v>0.0</v>
      </c>
      <c r="AI170" s="2" t="s">
        <v>1672</v>
      </c>
      <c r="AJ170" s="2" t="s">
        <v>1674</v>
      </c>
      <c r="AK170" s="2">
        <v>25.7642486770274</v>
      </c>
      <c r="AL170" s="2">
        <v>62.1422306975553</v>
      </c>
      <c r="AM170" s="2" t="s">
        <v>55</v>
      </c>
      <c r="AN170" s="2">
        <v>1.132</v>
      </c>
      <c r="AO170" s="2" t="s">
        <v>36</v>
      </c>
      <c r="AP170" s="2" t="s">
        <v>33</v>
      </c>
      <c r="AQ170" s="2">
        <v>0.00235849056603774</v>
      </c>
      <c r="AR170" s="2" t="s">
        <v>33</v>
      </c>
      <c r="AS170" s="2">
        <v>2.0</v>
      </c>
    </row>
    <row r="171" ht="15.75" customHeight="1">
      <c r="A171" s="2">
        <v>26.0</v>
      </c>
      <c r="B171" s="2">
        <v>1573.92</v>
      </c>
      <c r="C171" s="9">
        <v>45741.79305555556</v>
      </c>
      <c r="D171" s="2">
        <v>1540692.064</v>
      </c>
      <c r="E171" s="2">
        <v>5440435.029</v>
      </c>
      <c r="F171" s="2">
        <v>1573.92</v>
      </c>
      <c r="G171" s="2" t="s">
        <v>1455</v>
      </c>
      <c r="H171" s="2" t="s">
        <v>1684</v>
      </c>
      <c r="I171" s="2">
        <v>45741.0</v>
      </c>
      <c r="J171" s="2">
        <v>7.0</v>
      </c>
      <c r="K171" s="2" t="s">
        <v>36</v>
      </c>
      <c r="L171" s="2" t="s">
        <v>1423</v>
      </c>
      <c r="M171" s="2">
        <v>1.0</v>
      </c>
      <c r="N171" s="2" t="s">
        <v>33</v>
      </c>
      <c r="O171" s="2" t="s">
        <v>33</v>
      </c>
      <c r="P171" s="2">
        <v>5.0</v>
      </c>
      <c r="Q171" s="2" t="s">
        <v>33</v>
      </c>
      <c r="R171" s="2" t="s">
        <v>33</v>
      </c>
      <c r="S171" s="2" t="s">
        <v>33</v>
      </c>
      <c r="T171" s="2" t="s">
        <v>33</v>
      </c>
      <c r="U171" s="2">
        <v>95.0</v>
      </c>
      <c r="V171" s="2" t="s">
        <v>33</v>
      </c>
      <c r="W171" s="2">
        <v>100.0</v>
      </c>
      <c r="X171" s="2">
        <v>100.0</v>
      </c>
      <c r="Y171" s="2" t="s">
        <v>33</v>
      </c>
      <c r="Z171" s="2" t="s">
        <v>33</v>
      </c>
      <c r="AA171" s="2" t="s">
        <v>33</v>
      </c>
      <c r="AB171" s="2" t="s">
        <v>33</v>
      </c>
      <c r="AC171" s="2" t="s">
        <v>33</v>
      </c>
      <c r="AD171" s="2" t="s">
        <v>33</v>
      </c>
      <c r="AE171" s="2" t="s">
        <v>33</v>
      </c>
      <c r="AF171" s="2">
        <v>30.0</v>
      </c>
      <c r="AG171" s="2" t="s">
        <v>33</v>
      </c>
      <c r="AH171" s="2">
        <v>0.0</v>
      </c>
      <c r="AI171" s="2" t="s">
        <v>1689</v>
      </c>
      <c r="AJ171" s="2" t="s">
        <v>1690</v>
      </c>
      <c r="AK171" s="2">
        <v>33.3333280555189</v>
      </c>
      <c r="AL171" s="2">
        <v>66.5880304036366</v>
      </c>
      <c r="AM171" s="2" t="s">
        <v>55</v>
      </c>
      <c r="AN171" s="2">
        <v>1.132</v>
      </c>
      <c r="AO171" s="2" t="s">
        <v>36</v>
      </c>
      <c r="AP171" s="2" t="s">
        <v>33</v>
      </c>
      <c r="AQ171" s="2">
        <v>0.00235849056603774</v>
      </c>
      <c r="AR171" s="2" t="s">
        <v>33</v>
      </c>
      <c r="AS171" s="2">
        <v>1.0</v>
      </c>
    </row>
    <row r="172" ht="15.75" customHeight="1">
      <c r="A172" s="2">
        <v>27.0</v>
      </c>
      <c r="B172" s="2">
        <v>1570.02</v>
      </c>
      <c r="C172" s="2" t="s">
        <v>1692</v>
      </c>
      <c r="D172" s="2">
        <v>1540790.969</v>
      </c>
      <c r="E172" s="2">
        <v>5440501.414</v>
      </c>
      <c r="F172" s="2">
        <v>1570.02</v>
      </c>
      <c r="G172" s="2" t="s">
        <v>1423</v>
      </c>
      <c r="H172" s="2" t="s">
        <v>1693</v>
      </c>
      <c r="I172" s="2">
        <v>45741.0</v>
      </c>
      <c r="J172" s="2">
        <v>1.0</v>
      </c>
      <c r="K172" s="2" t="s">
        <v>36</v>
      </c>
      <c r="L172" s="2" t="s">
        <v>1455</v>
      </c>
      <c r="M172" s="2">
        <v>4.0</v>
      </c>
      <c r="N172" s="2">
        <v>98.0</v>
      </c>
      <c r="O172" s="2" t="s">
        <v>33</v>
      </c>
      <c r="P172" s="2" t="s">
        <v>33</v>
      </c>
      <c r="Q172" s="2" t="s">
        <v>33</v>
      </c>
      <c r="R172" s="2" t="s">
        <v>33</v>
      </c>
      <c r="S172" s="2" t="s">
        <v>33</v>
      </c>
      <c r="T172" s="2" t="s">
        <v>33</v>
      </c>
      <c r="U172" s="2">
        <v>2.0</v>
      </c>
      <c r="V172" s="2" t="s">
        <v>33</v>
      </c>
      <c r="W172" s="2">
        <v>100.0</v>
      </c>
      <c r="X172" s="2">
        <v>0.0</v>
      </c>
      <c r="Y172" s="2" t="s">
        <v>33</v>
      </c>
      <c r="Z172" s="2" t="s">
        <v>33</v>
      </c>
      <c r="AA172" s="2">
        <v>100.0</v>
      </c>
      <c r="AB172" s="2" t="s">
        <v>33</v>
      </c>
      <c r="AC172" s="2" t="s">
        <v>33</v>
      </c>
      <c r="AD172" s="2" t="s">
        <v>33</v>
      </c>
      <c r="AE172" s="2" t="s">
        <v>33</v>
      </c>
      <c r="AF172" s="2">
        <v>0.0</v>
      </c>
      <c r="AG172" s="2" t="s">
        <v>33</v>
      </c>
      <c r="AH172" s="2">
        <v>100.0</v>
      </c>
      <c r="AI172" s="2" t="s">
        <v>1699</v>
      </c>
      <c r="AJ172" s="2" t="s">
        <v>1700</v>
      </c>
      <c r="AK172" s="2">
        <v>2.73821327518338</v>
      </c>
      <c r="AL172" s="2">
        <v>97.618367621186</v>
      </c>
      <c r="AM172" s="2" t="s">
        <v>55</v>
      </c>
      <c r="AN172" s="2">
        <v>1.597</v>
      </c>
      <c r="AO172" s="2" t="s">
        <v>36</v>
      </c>
      <c r="AP172" s="2" t="s">
        <v>33</v>
      </c>
      <c r="AQ172" s="2">
        <v>0.997641509433962</v>
      </c>
      <c r="AR172" s="2">
        <v>0.977735849056604</v>
      </c>
      <c r="AS172" s="2">
        <v>4.0</v>
      </c>
    </row>
    <row r="173" ht="15.75" customHeight="1">
      <c r="A173" s="2">
        <v>27.0</v>
      </c>
      <c r="B173" s="2">
        <v>1570.02</v>
      </c>
      <c r="C173" s="9">
        <v>45741.80069444444</v>
      </c>
      <c r="D173" s="2">
        <v>1540790.969</v>
      </c>
      <c r="E173" s="2">
        <v>5440501.414</v>
      </c>
      <c r="F173" s="2">
        <v>1570.02</v>
      </c>
      <c r="G173" s="2" t="s">
        <v>1423</v>
      </c>
      <c r="H173" s="2" t="s">
        <v>1704</v>
      </c>
      <c r="I173" s="2">
        <v>45741.0</v>
      </c>
      <c r="J173" s="2">
        <v>2.0</v>
      </c>
      <c r="K173" s="2" t="s">
        <v>36</v>
      </c>
      <c r="L173" s="2" t="s">
        <v>1455</v>
      </c>
      <c r="M173" s="2">
        <v>4.0</v>
      </c>
      <c r="N173" s="2">
        <v>100.0</v>
      </c>
      <c r="O173" s="2" t="s">
        <v>33</v>
      </c>
      <c r="P173" s="2" t="s">
        <v>33</v>
      </c>
      <c r="Q173" s="2" t="s">
        <v>33</v>
      </c>
      <c r="R173" s="2" t="s">
        <v>33</v>
      </c>
      <c r="S173" s="2" t="s">
        <v>33</v>
      </c>
      <c r="T173" s="2" t="s">
        <v>33</v>
      </c>
      <c r="U173" s="2" t="s">
        <v>33</v>
      </c>
      <c r="V173" s="2" t="s">
        <v>33</v>
      </c>
      <c r="W173" s="2">
        <v>100.0</v>
      </c>
      <c r="X173" s="2">
        <v>0.0</v>
      </c>
      <c r="Y173" s="2" t="s">
        <v>33</v>
      </c>
      <c r="Z173" s="2" t="s">
        <v>33</v>
      </c>
      <c r="AA173" s="2" t="s">
        <v>33</v>
      </c>
      <c r="AB173" s="2" t="s">
        <v>33</v>
      </c>
      <c r="AC173" s="2">
        <v>100.0</v>
      </c>
      <c r="AD173" s="2" t="s">
        <v>33</v>
      </c>
      <c r="AE173" s="2" t="s">
        <v>33</v>
      </c>
      <c r="AF173" s="2">
        <v>5.0</v>
      </c>
      <c r="AG173" s="2" t="s">
        <v>33</v>
      </c>
      <c r="AH173" s="2">
        <v>100.0</v>
      </c>
      <c r="AI173" s="2" t="s">
        <v>1699</v>
      </c>
      <c r="AJ173" s="2" t="s">
        <v>1700</v>
      </c>
      <c r="AK173" s="2">
        <v>2.73821327518338</v>
      </c>
      <c r="AL173" s="2">
        <v>97.618367621186</v>
      </c>
      <c r="AM173" s="2" t="s">
        <v>55</v>
      </c>
      <c r="AN173" s="2">
        <v>1.597</v>
      </c>
      <c r="AO173" s="2" t="s">
        <v>36</v>
      </c>
      <c r="AP173" s="2" t="s">
        <v>33</v>
      </c>
      <c r="AQ173" s="2">
        <v>0.997641509433962</v>
      </c>
      <c r="AR173" s="2">
        <v>0.997641509433962</v>
      </c>
      <c r="AS173" s="2">
        <v>4.0</v>
      </c>
    </row>
    <row r="174" ht="15.75" customHeight="1">
      <c r="A174" s="2">
        <v>27.0</v>
      </c>
      <c r="B174" s="2">
        <v>1570.02</v>
      </c>
      <c r="C174" s="9">
        <v>45741.80069444444</v>
      </c>
      <c r="D174" s="2">
        <v>1540790.969</v>
      </c>
      <c r="E174" s="2">
        <v>5440501.414</v>
      </c>
      <c r="F174" s="2">
        <v>1570.02</v>
      </c>
      <c r="G174" s="2" t="s">
        <v>1423</v>
      </c>
      <c r="H174" s="2" t="s">
        <v>1711</v>
      </c>
      <c r="I174" s="2">
        <v>45741.0</v>
      </c>
      <c r="J174" s="2">
        <v>3.0</v>
      </c>
      <c r="K174" s="2" t="s">
        <v>36</v>
      </c>
      <c r="L174" s="2" t="s">
        <v>1455</v>
      </c>
      <c r="M174" s="2">
        <v>3.0</v>
      </c>
      <c r="N174" s="2">
        <v>25.0</v>
      </c>
      <c r="O174" s="2" t="s">
        <v>33</v>
      </c>
      <c r="P174" s="2">
        <v>15.0</v>
      </c>
      <c r="Q174" s="2" t="s">
        <v>33</v>
      </c>
      <c r="R174" s="2">
        <v>60.0</v>
      </c>
      <c r="S174" s="2" t="s">
        <v>33</v>
      </c>
      <c r="T174" s="2" t="s">
        <v>33</v>
      </c>
      <c r="U174" s="2" t="s">
        <v>33</v>
      </c>
      <c r="V174" s="2" t="s">
        <v>33</v>
      </c>
      <c r="W174" s="2">
        <v>100.0</v>
      </c>
      <c r="X174" s="2">
        <v>70.0</v>
      </c>
      <c r="Y174" s="2" t="s">
        <v>33</v>
      </c>
      <c r="Z174" s="2" t="s">
        <v>33</v>
      </c>
      <c r="AA174" s="2">
        <v>30.0</v>
      </c>
      <c r="AB174" s="2" t="s">
        <v>33</v>
      </c>
      <c r="AC174" s="2" t="s">
        <v>33</v>
      </c>
      <c r="AD174" s="2" t="s">
        <v>33</v>
      </c>
      <c r="AE174" s="2" t="s">
        <v>33</v>
      </c>
      <c r="AF174" s="2">
        <v>10.0</v>
      </c>
      <c r="AG174" s="2" t="s">
        <v>33</v>
      </c>
      <c r="AH174" s="2">
        <v>30.0</v>
      </c>
      <c r="AI174" s="2" t="s">
        <v>1699</v>
      </c>
      <c r="AJ174" s="2" t="s">
        <v>1700</v>
      </c>
      <c r="AK174" s="2">
        <v>2.73821327518338</v>
      </c>
      <c r="AL174" s="2">
        <v>97.618367621186</v>
      </c>
      <c r="AM174" s="2" t="s">
        <v>55</v>
      </c>
      <c r="AN174" s="2">
        <v>1.597</v>
      </c>
      <c r="AO174" s="2" t="s">
        <v>36</v>
      </c>
      <c r="AP174" s="2" t="s">
        <v>33</v>
      </c>
      <c r="AQ174" s="2">
        <v>0.300943396226415</v>
      </c>
      <c r="AR174" s="2">
        <v>0.251179245283019</v>
      </c>
      <c r="AS174" s="2">
        <v>3.0</v>
      </c>
    </row>
    <row r="175" ht="15.75" customHeight="1">
      <c r="A175" s="2">
        <v>27.0</v>
      </c>
      <c r="B175" s="2">
        <v>1566.9</v>
      </c>
      <c r="C175" s="9">
        <v>45741.802083333336</v>
      </c>
      <c r="D175" s="2">
        <v>1540803.591</v>
      </c>
      <c r="E175" s="2">
        <v>5440513.38</v>
      </c>
      <c r="F175" s="2">
        <v>1566.9</v>
      </c>
      <c r="G175" s="2" t="s">
        <v>1423</v>
      </c>
      <c r="H175" s="2" t="s">
        <v>1719</v>
      </c>
      <c r="I175" s="2">
        <v>45741.0</v>
      </c>
      <c r="J175" s="2">
        <v>4.0</v>
      </c>
      <c r="K175" s="2" t="s">
        <v>36</v>
      </c>
      <c r="L175" s="2" t="s">
        <v>1455</v>
      </c>
      <c r="M175" s="2">
        <v>3.0</v>
      </c>
      <c r="N175" s="2" t="s">
        <v>33</v>
      </c>
      <c r="O175" s="2" t="s">
        <v>33</v>
      </c>
      <c r="P175" s="2">
        <v>40.0</v>
      </c>
      <c r="Q175" s="2" t="s">
        <v>33</v>
      </c>
      <c r="R175" s="2">
        <v>20.0</v>
      </c>
      <c r="S175" s="2" t="s">
        <v>33</v>
      </c>
      <c r="T175" s="2">
        <v>40.0</v>
      </c>
      <c r="U175" s="2" t="s">
        <v>33</v>
      </c>
      <c r="V175" s="2" t="s">
        <v>33</v>
      </c>
      <c r="W175" s="2">
        <v>100.0</v>
      </c>
      <c r="X175" s="2">
        <v>70.0</v>
      </c>
      <c r="Y175" s="2" t="s">
        <v>33</v>
      </c>
      <c r="Z175" s="2" t="s">
        <v>33</v>
      </c>
      <c r="AA175" s="2">
        <v>30.0</v>
      </c>
      <c r="AB175" s="2" t="s">
        <v>33</v>
      </c>
      <c r="AC175" s="2" t="s">
        <v>33</v>
      </c>
      <c r="AD175" s="2" t="s">
        <v>33</v>
      </c>
      <c r="AE175" s="2" t="s">
        <v>33</v>
      </c>
      <c r="AF175" s="2">
        <v>15.0</v>
      </c>
      <c r="AG175" s="2" t="s">
        <v>33</v>
      </c>
      <c r="AH175" s="2">
        <v>30.0</v>
      </c>
      <c r="AI175" s="2" t="s">
        <v>1724</v>
      </c>
      <c r="AJ175" s="2" t="s">
        <v>1725</v>
      </c>
      <c r="AK175" s="2">
        <v>7.78657082972572</v>
      </c>
      <c r="AL175" s="2">
        <v>110.513169373701</v>
      </c>
      <c r="AM175" s="2" t="s">
        <v>55</v>
      </c>
      <c r="AN175" s="2">
        <v>1.597</v>
      </c>
      <c r="AO175" s="2" t="s">
        <v>36</v>
      </c>
      <c r="AP175" s="2" t="s">
        <v>33</v>
      </c>
      <c r="AQ175" s="2">
        <v>0.300943396226415</v>
      </c>
      <c r="AR175" s="2" t="s">
        <v>33</v>
      </c>
      <c r="AS175" s="2">
        <v>3.0</v>
      </c>
    </row>
    <row r="176" ht="15.75" customHeight="1">
      <c r="A176" s="2">
        <v>27.0</v>
      </c>
      <c r="B176" s="2">
        <v>1566.9</v>
      </c>
      <c r="C176" s="2" t="s">
        <v>1726</v>
      </c>
      <c r="D176" s="2">
        <v>1540803.591</v>
      </c>
      <c r="E176" s="2">
        <v>5440513.38</v>
      </c>
      <c r="F176" s="2">
        <v>1566.9</v>
      </c>
      <c r="G176" s="2" t="s">
        <v>1423</v>
      </c>
      <c r="H176" s="2" t="s">
        <v>1729</v>
      </c>
      <c r="I176" s="2">
        <v>45741.0</v>
      </c>
      <c r="J176" s="2">
        <v>5.0</v>
      </c>
      <c r="K176" s="2" t="s">
        <v>36</v>
      </c>
      <c r="L176" s="2" t="s">
        <v>1455</v>
      </c>
      <c r="M176" s="2">
        <v>2.0</v>
      </c>
      <c r="N176" s="2" t="s">
        <v>33</v>
      </c>
      <c r="O176" s="2" t="s">
        <v>33</v>
      </c>
      <c r="P176" s="2">
        <v>40.0</v>
      </c>
      <c r="Q176" s="2" t="s">
        <v>33</v>
      </c>
      <c r="R176" s="2" t="s">
        <v>33</v>
      </c>
      <c r="S176" s="2" t="s">
        <v>33</v>
      </c>
      <c r="T176" s="2">
        <v>60.0</v>
      </c>
      <c r="U176" s="2" t="s">
        <v>33</v>
      </c>
      <c r="V176" s="2" t="s">
        <v>33</v>
      </c>
      <c r="W176" s="2">
        <v>100.0</v>
      </c>
      <c r="X176" s="2">
        <v>80.0</v>
      </c>
      <c r="Y176" s="2" t="s">
        <v>33</v>
      </c>
      <c r="Z176" s="2" t="s">
        <v>33</v>
      </c>
      <c r="AA176" s="2">
        <v>20.0</v>
      </c>
      <c r="AB176" s="2" t="s">
        <v>33</v>
      </c>
      <c r="AC176" s="2" t="s">
        <v>33</v>
      </c>
      <c r="AD176" s="2" t="s">
        <v>33</v>
      </c>
      <c r="AE176" s="2" t="s">
        <v>33</v>
      </c>
      <c r="AF176" s="2">
        <v>20.0</v>
      </c>
      <c r="AG176" s="2" t="s">
        <v>33</v>
      </c>
      <c r="AH176" s="2">
        <v>20.0</v>
      </c>
      <c r="AI176" s="2" t="s">
        <v>1724</v>
      </c>
      <c r="AJ176" s="2" t="s">
        <v>1725</v>
      </c>
      <c r="AK176" s="2">
        <v>7.78657082972572</v>
      </c>
      <c r="AL176" s="2">
        <v>110.513169373701</v>
      </c>
      <c r="AM176" s="2" t="s">
        <v>55</v>
      </c>
      <c r="AN176" s="2">
        <v>1.597</v>
      </c>
      <c r="AO176" s="2" t="s">
        <v>36</v>
      </c>
      <c r="AP176" s="2" t="s">
        <v>33</v>
      </c>
      <c r="AQ176" s="2">
        <v>0.201415094339623</v>
      </c>
      <c r="AR176" s="2" t="s">
        <v>33</v>
      </c>
      <c r="AS176" s="2">
        <v>2.0</v>
      </c>
    </row>
    <row r="177" ht="15.75" customHeight="1">
      <c r="A177" s="2">
        <v>27.0</v>
      </c>
      <c r="B177" s="2">
        <v>1569.23</v>
      </c>
      <c r="C177" s="9">
        <v>45741.80347222222</v>
      </c>
      <c r="D177" s="2">
        <v>1540809.127</v>
      </c>
      <c r="E177" s="2">
        <v>5440521.985</v>
      </c>
      <c r="F177" s="2">
        <v>1569.23</v>
      </c>
      <c r="G177" s="2" t="s">
        <v>1423</v>
      </c>
      <c r="H177" s="2" t="s">
        <v>1741</v>
      </c>
      <c r="I177" s="2">
        <v>45741.0</v>
      </c>
      <c r="J177" s="2">
        <v>6.0</v>
      </c>
      <c r="K177" s="2" t="s">
        <v>36</v>
      </c>
      <c r="L177" s="2" t="s">
        <v>1455</v>
      </c>
      <c r="M177" s="2">
        <v>1.0</v>
      </c>
      <c r="N177" s="2" t="s">
        <v>33</v>
      </c>
      <c r="O177" s="2" t="s">
        <v>33</v>
      </c>
      <c r="P177" s="2" t="s">
        <v>33</v>
      </c>
      <c r="Q177" s="2" t="s">
        <v>33</v>
      </c>
      <c r="R177" s="2" t="s">
        <v>33</v>
      </c>
      <c r="S177" s="2" t="s">
        <v>33</v>
      </c>
      <c r="T177" s="2">
        <v>100.0</v>
      </c>
      <c r="U177" s="2" t="s">
        <v>33</v>
      </c>
      <c r="V177" s="2" t="s">
        <v>33</v>
      </c>
      <c r="W177" s="2">
        <v>100.0</v>
      </c>
      <c r="X177" s="2">
        <v>100.0</v>
      </c>
      <c r="Y177" s="2" t="s">
        <v>33</v>
      </c>
      <c r="Z177" s="2" t="s">
        <v>33</v>
      </c>
      <c r="AA177" s="2" t="s">
        <v>33</v>
      </c>
      <c r="AB177" s="2" t="s">
        <v>33</v>
      </c>
      <c r="AC177" s="2" t="s">
        <v>33</v>
      </c>
      <c r="AD177" s="2" t="s">
        <v>33</v>
      </c>
      <c r="AE177" s="2" t="s">
        <v>33</v>
      </c>
      <c r="AF177" s="2">
        <v>25.0</v>
      </c>
      <c r="AG177" s="2" t="s">
        <v>33</v>
      </c>
      <c r="AH177" s="2">
        <v>0.0</v>
      </c>
      <c r="AI177" s="2" t="s">
        <v>1745</v>
      </c>
      <c r="AJ177" s="2" t="s">
        <v>1746</v>
      </c>
      <c r="AK177" s="2">
        <v>18.0181864114707</v>
      </c>
      <c r="AL177" s="2">
        <v>116.983460275604</v>
      </c>
      <c r="AM177" s="2" t="s">
        <v>55</v>
      </c>
      <c r="AN177" s="2">
        <v>1.597</v>
      </c>
      <c r="AO177" s="2" t="s">
        <v>36</v>
      </c>
      <c r="AP177" s="2" t="s">
        <v>33</v>
      </c>
      <c r="AQ177" s="2">
        <v>0.00235849056603774</v>
      </c>
      <c r="AR177" s="2" t="s">
        <v>33</v>
      </c>
      <c r="AS177" s="2">
        <v>1.0</v>
      </c>
    </row>
    <row r="178" ht="15.75" customHeight="1">
      <c r="A178" s="2">
        <v>29.0</v>
      </c>
      <c r="B178" s="2">
        <v>1697.78</v>
      </c>
      <c r="C178" s="2" t="s">
        <v>1749</v>
      </c>
      <c r="D178" s="2">
        <v>1542729.941</v>
      </c>
      <c r="E178" s="2">
        <v>5438266.62</v>
      </c>
      <c r="F178" s="2">
        <v>1697.78</v>
      </c>
      <c r="G178" s="2" t="s">
        <v>1586</v>
      </c>
      <c r="H178" s="2" t="s">
        <v>1751</v>
      </c>
      <c r="I178" s="2">
        <v>45733.0</v>
      </c>
      <c r="J178" s="2">
        <v>1.0</v>
      </c>
      <c r="K178" s="2" t="s">
        <v>36</v>
      </c>
      <c r="L178" s="2" t="s">
        <v>1546</v>
      </c>
      <c r="M178" s="2">
        <v>4.0</v>
      </c>
      <c r="N178" s="2">
        <v>70.0</v>
      </c>
      <c r="O178" s="2" t="s">
        <v>33</v>
      </c>
      <c r="P178" s="2">
        <v>30.0</v>
      </c>
      <c r="Q178" s="2" t="s">
        <v>33</v>
      </c>
      <c r="R178" s="2" t="s">
        <v>33</v>
      </c>
      <c r="S178" s="2" t="s">
        <v>33</v>
      </c>
      <c r="T178" s="2" t="s">
        <v>33</v>
      </c>
      <c r="U178" s="2" t="s">
        <v>33</v>
      </c>
      <c r="V178" s="2" t="s">
        <v>33</v>
      </c>
      <c r="W178" s="2">
        <v>100.0</v>
      </c>
      <c r="X178" s="2">
        <v>50.0</v>
      </c>
      <c r="Y178" s="2" t="s">
        <v>33</v>
      </c>
      <c r="Z178" s="2" t="s">
        <v>33</v>
      </c>
      <c r="AA178" s="2">
        <v>50.0</v>
      </c>
      <c r="AB178" s="2" t="s">
        <v>33</v>
      </c>
      <c r="AC178" s="2" t="s">
        <v>33</v>
      </c>
      <c r="AD178" s="2" t="s">
        <v>33</v>
      </c>
      <c r="AE178" s="2" t="s">
        <v>33</v>
      </c>
      <c r="AF178" s="2">
        <v>0.0</v>
      </c>
      <c r="AG178" s="2" t="s">
        <v>33</v>
      </c>
      <c r="AH178" s="2">
        <v>50.0</v>
      </c>
      <c r="AI178" s="2" t="s">
        <v>1756</v>
      </c>
      <c r="AJ178" s="2" t="s">
        <v>1757</v>
      </c>
      <c r="AK178" s="2">
        <v>12.1364643380257</v>
      </c>
      <c r="AL178" s="2">
        <v>31.7515949205252</v>
      </c>
      <c r="AM178" s="2" t="s">
        <v>55</v>
      </c>
      <c r="AN178" s="2">
        <v>1.3</v>
      </c>
      <c r="AO178" s="2" t="s">
        <v>36</v>
      </c>
      <c r="AP178" s="2" t="s">
        <v>33</v>
      </c>
      <c r="AQ178" s="2">
        <v>0.5</v>
      </c>
      <c r="AR178" s="2">
        <v>0.699056603773585</v>
      </c>
      <c r="AS178" s="2">
        <v>4.0</v>
      </c>
    </row>
    <row r="179" ht="15.75" customHeight="1">
      <c r="A179" s="2">
        <v>29.0</v>
      </c>
      <c r="B179" s="2">
        <v>1694.67</v>
      </c>
      <c r="C179" s="2" t="s">
        <v>1760</v>
      </c>
      <c r="D179" s="2">
        <v>1542738.592</v>
      </c>
      <c r="E179" s="2">
        <v>5438263.1</v>
      </c>
      <c r="F179" s="2">
        <v>1694.67</v>
      </c>
      <c r="G179" s="2" t="s">
        <v>1586</v>
      </c>
      <c r="H179" s="2" t="s">
        <v>1761</v>
      </c>
      <c r="I179" s="2">
        <v>45733.0</v>
      </c>
      <c r="J179" s="2">
        <v>2.0</v>
      </c>
      <c r="K179" s="2" t="s">
        <v>36</v>
      </c>
      <c r="L179" s="2" t="s">
        <v>1546</v>
      </c>
      <c r="M179" s="2">
        <v>4.0</v>
      </c>
      <c r="N179" s="2" t="s">
        <v>33</v>
      </c>
      <c r="O179" s="2" t="s">
        <v>33</v>
      </c>
      <c r="P179" s="2">
        <v>100.0</v>
      </c>
      <c r="Q179" s="2" t="s">
        <v>33</v>
      </c>
      <c r="R179" s="2" t="s">
        <v>33</v>
      </c>
      <c r="S179" s="2" t="s">
        <v>33</v>
      </c>
      <c r="T179" s="2" t="s">
        <v>33</v>
      </c>
      <c r="U179" s="2" t="s">
        <v>33</v>
      </c>
      <c r="V179" s="2" t="s">
        <v>33</v>
      </c>
      <c r="W179" s="2">
        <v>100.0</v>
      </c>
      <c r="X179" s="2">
        <v>20.0</v>
      </c>
      <c r="Y179" s="2" t="s">
        <v>33</v>
      </c>
      <c r="Z179" s="2" t="s">
        <v>33</v>
      </c>
      <c r="AA179" s="2" t="s">
        <v>33</v>
      </c>
      <c r="AB179" s="2">
        <v>80.0</v>
      </c>
      <c r="AC179" s="2" t="s">
        <v>33</v>
      </c>
      <c r="AD179" s="2" t="s">
        <v>33</v>
      </c>
      <c r="AE179" s="2" t="s">
        <v>33</v>
      </c>
      <c r="AF179" s="2">
        <v>5.0</v>
      </c>
      <c r="AG179" s="2" t="s">
        <v>33</v>
      </c>
      <c r="AH179" s="2">
        <v>80.0</v>
      </c>
      <c r="AI179" s="2" t="s">
        <v>1769</v>
      </c>
      <c r="AJ179" s="2" t="s">
        <v>1770</v>
      </c>
      <c r="AK179" s="2">
        <v>14.0543437789221</v>
      </c>
      <c r="AL179" s="2">
        <v>26.3876155993637</v>
      </c>
      <c r="AM179" s="2" t="s">
        <v>55</v>
      </c>
      <c r="AN179" s="2">
        <v>1.3</v>
      </c>
      <c r="AO179" s="2" t="s">
        <v>36</v>
      </c>
      <c r="AP179" s="2" t="s">
        <v>33</v>
      </c>
      <c r="AQ179" s="2">
        <v>0.798584905660377</v>
      </c>
      <c r="AR179" s="2" t="s">
        <v>33</v>
      </c>
      <c r="AS179" s="2">
        <v>4.0</v>
      </c>
    </row>
    <row r="180" ht="15.75" customHeight="1">
      <c r="A180" s="2">
        <v>29.0</v>
      </c>
      <c r="B180" s="2">
        <v>1698.47</v>
      </c>
      <c r="C180" s="2" t="s">
        <v>1775</v>
      </c>
      <c r="D180" s="2">
        <v>1542734.644</v>
      </c>
      <c r="E180" s="2">
        <v>5438261.142</v>
      </c>
      <c r="F180" s="2">
        <v>1698.47</v>
      </c>
      <c r="G180" s="2" t="s">
        <v>1586</v>
      </c>
      <c r="H180" s="2" t="s">
        <v>1778</v>
      </c>
      <c r="I180" s="2">
        <v>45733.0</v>
      </c>
      <c r="J180" s="2">
        <v>3.0</v>
      </c>
      <c r="K180" s="2" t="s">
        <v>36</v>
      </c>
      <c r="L180" s="2" t="s">
        <v>1546</v>
      </c>
      <c r="M180" s="2">
        <v>4.0</v>
      </c>
      <c r="N180" s="2">
        <v>15.0</v>
      </c>
      <c r="O180" s="2" t="s">
        <v>33</v>
      </c>
      <c r="P180" s="2">
        <v>80.0</v>
      </c>
      <c r="Q180" s="2" t="s">
        <v>33</v>
      </c>
      <c r="R180" s="2">
        <v>5.0</v>
      </c>
      <c r="S180" s="2" t="s">
        <v>33</v>
      </c>
      <c r="T180" s="2" t="s">
        <v>33</v>
      </c>
      <c r="U180" s="2" t="s">
        <v>33</v>
      </c>
      <c r="V180" s="2" t="s">
        <v>33</v>
      </c>
      <c r="W180" s="2">
        <v>100.0</v>
      </c>
      <c r="X180" s="2">
        <v>20.0</v>
      </c>
      <c r="Y180" s="2" t="s">
        <v>33</v>
      </c>
      <c r="Z180" s="2" t="s">
        <v>33</v>
      </c>
      <c r="AA180" s="2">
        <v>80.0</v>
      </c>
      <c r="AB180" s="2" t="s">
        <v>33</v>
      </c>
      <c r="AC180" s="2" t="s">
        <v>33</v>
      </c>
      <c r="AD180" s="2" t="s">
        <v>33</v>
      </c>
      <c r="AE180" s="2" t="s">
        <v>33</v>
      </c>
      <c r="AF180" s="2">
        <v>10.0</v>
      </c>
      <c r="AG180" s="2" t="s">
        <v>33</v>
      </c>
      <c r="AH180" s="2">
        <v>80.0</v>
      </c>
      <c r="AI180" s="2" t="s">
        <v>1783</v>
      </c>
      <c r="AJ180" s="2" t="s">
        <v>1784</v>
      </c>
      <c r="AK180" s="2">
        <v>16.2228626025036</v>
      </c>
      <c r="AL180" s="2">
        <v>30.6761282596381</v>
      </c>
      <c r="AM180" s="2" t="s">
        <v>55</v>
      </c>
      <c r="AN180" s="2">
        <v>1.3</v>
      </c>
      <c r="AO180" s="2" t="s">
        <v>36</v>
      </c>
      <c r="AP180" s="2" t="s">
        <v>33</v>
      </c>
      <c r="AQ180" s="2">
        <v>0.798584905660377</v>
      </c>
      <c r="AR180" s="2">
        <v>0.151650943396226</v>
      </c>
      <c r="AS180" s="2">
        <v>4.0</v>
      </c>
    </row>
    <row r="181" ht="15.75" customHeight="1">
      <c r="A181" s="2">
        <v>29.0</v>
      </c>
      <c r="B181" s="2">
        <v>1694.03</v>
      </c>
      <c r="C181" s="2" t="s">
        <v>1787</v>
      </c>
      <c r="D181" s="2">
        <v>1542734.115</v>
      </c>
      <c r="E181" s="2">
        <v>5438260.727</v>
      </c>
      <c r="F181" s="2">
        <v>1694.03</v>
      </c>
      <c r="G181" s="2" t="s">
        <v>1586</v>
      </c>
      <c r="H181" s="2" t="s">
        <v>1789</v>
      </c>
      <c r="I181" s="2">
        <v>45733.0</v>
      </c>
      <c r="J181" s="2">
        <v>4.0</v>
      </c>
      <c r="K181" s="2" t="s">
        <v>36</v>
      </c>
      <c r="L181" s="2" t="s">
        <v>1546</v>
      </c>
      <c r="M181" s="2">
        <v>3.0</v>
      </c>
      <c r="N181" s="2">
        <v>10.0</v>
      </c>
      <c r="O181" s="2" t="s">
        <v>33</v>
      </c>
      <c r="P181" s="2">
        <v>50.0</v>
      </c>
      <c r="Q181" s="2">
        <v>20.0</v>
      </c>
      <c r="R181" s="2" t="s">
        <v>33</v>
      </c>
      <c r="S181" s="2">
        <v>10.0</v>
      </c>
      <c r="T181" s="2" t="s">
        <v>33</v>
      </c>
      <c r="U181" s="2">
        <v>10.0</v>
      </c>
      <c r="V181" s="2" t="s">
        <v>33</v>
      </c>
      <c r="W181" s="2">
        <v>100.0</v>
      </c>
      <c r="X181" s="2">
        <v>70.0</v>
      </c>
      <c r="Y181" s="2" t="s">
        <v>33</v>
      </c>
      <c r="Z181" s="2" t="s">
        <v>33</v>
      </c>
      <c r="AA181" s="2">
        <v>30.0</v>
      </c>
      <c r="AB181" s="2" t="s">
        <v>33</v>
      </c>
      <c r="AC181" s="2" t="s">
        <v>33</v>
      </c>
      <c r="AD181" s="2" t="s">
        <v>33</v>
      </c>
      <c r="AE181" s="2" t="s">
        <v>33</v>
      </c>
      <c r="AF181" s="2">
        <v>15.0</v>
      </c>
      <c r="AG181" s="2" t="s">
        <v>33</v>
      </c>
      <c r="AH181" s="2">
        <v>30.0</v>
      </c>
      <c r="AI181" s="2" t="s">
        <v>1793</v>
      </c>
      <c r="AJ181" s="2" t="s">
        <v>1794</v>
      </c>
      <c r="AK181" s="2">
        <v>16.7304618593442</v>
      </c>
      <c r="AL181" s="2">
        <v>31.3484518438791</v>
      </c>
      <c r="AM181" s="2" t="s">
        <v>55</v>
      </c>
      <c r="AN181" s="2">
        <v>1.3</v>
      </c>
      <c r="AO181" s="2" t="s">
        <v>36</v>
      </c>
      <c r="AP181" s="2" t="s">
        <v>33</v>
      </c>
      <c r="AQ181" s="2">
        <v>0.300943396226415</v>
      </c>
      <c r="AR181" s="2">
        <v>0.10188679245283</v>
      </c>
      <c r="AS181" s="2">
        <v>3.0</v>
      </c>
    </row>
    <row r="182" ht="15.75" customHeight="1">
      <c r="A182" s="2">
        <v>29.0</v>
      </c>
      <c r="B182" s="2">
        <v>1694.03</v>
      </c>
      <c r="C182" s="2" t="s">
        <v>1797</v>
      </c>
      <c r="D182" s="2">
        <v>1542734.115</v>
      </c>
      <c r="E182" s="2">
        <v>5438260.727</v>
      </c>
      <c r="F182" s="2">
        <v>1694.03</v>
      </c>
      <c r="G182" s="2" t="s">
        <v>1586</v>
      </c>
      <c r="H182" s="2" t="s">
        <v>1800</v>
      </c>
      <c r="I182" s="2">
        <v>45733.0</v>
      </c>
      <c r="J182" s="2">
        <v>5.0</v>
      </c>
      <c r="K182" s="2" t="s">
        <v>36</v>
      </c>
      <c r="L182" s="2" t="s">
        <v>1546</v>
      </c>
      <c r="M182" s="2">
        <v>2.0</v>
      </c>
      <c r="N182" s="2" t="s">
        <v>33</v>
      </c>
      <c r="O182" s="2" t="s">
        <v>33</v>
      </c>
      <c r="P182" s="2">
        <v>40.0</v>
      </c>
      <c r="Q182" s="2">
        <v>10.0</v>
      </c>
      <c r="R182" s="2" t="s">
        <v>33</v>
      </c>
      <c r="S182" s="2">
        <v>40.0</v>
      </c>
      <c r="T182" s="2" t="s">
        <v>33</v>
      </c>
      <c r="U182" s="2">
        <v>10.0</v>
      </c>
      <c r="V182" s="2" t="s">
        <v>33</v>
      </c>
      <c r="W182" s="2">
        <v>100.0</v>
      </c>
      <c r="X182" s="2">
        <v>90.0</v>
      </c>
      <c r="Y182" s="2" t="s">
        <v>33</v>
      </c>
      <c r="Z182" s="2" t="s">
        <v>33</v>
      </c>
      <c r="AA182" s="2">
        <v>10.0</v>
      </c>
      <c r="AB182" s="2" t="s">
        <v>33</v>
      </c>
      <c r="AC182" s="2" t="s">
        <v>33</v>
      </c>
      <c r="AD182" s="2" t="s">
        <v>33</v>
      </c>
      <c r="AE182" s="2" t="s">
        <v>33</v>
      </c>
      <c r="AF182" s="2">
        <v>20.0</v>
      </c>
      <c r="AG182" s="2" t="s">
        <v>33</v>
      </c>
      <c r="AH182" s="2">
        <v>10.0</v>
      </c>
      <c r="AI182" s="2" t="s">
        <v>1793</v>
      </c>
      <c r="AJ182" s="2" t="s">
        <v>1794</v>
      </c>
      <c r="AK182" s="2">
        <v>16.7304618593442</v>
      </c>
      <c r="AL182" s="2">
        <v>31.3484518438791</v>
      </c>
      <c r="AM182" s="2" t="s">
        <v>55</v>
      </c>
      <c r="AN182" s="2">
        <v>1.3</v>
      </c>
      <c r="AO182" s="2" t="s">
        <v>36</v>
      </c>
      <c r="AP182" s="2" t="s">
        <v>33</v>
      </c>
      <c r="AQ182" s="2">
        <v>0.10188679245283</v>
      </c>
      <c r="AR182" s="2" t="s">
        <v>33</v>
      </c>
      <c r="AS182" s="2">
        <v>2.0</v>
      </c>
    </row>
    <row r="183" ht="15.75" customHeight="1">
      <c r="A183" s="2">
        <v>29.0</v>
      </c>
      <c r="B183" s="2">
        <v>1697.62</v>
      </c>
      <c r="C183" s="2" t="s">
        <v>1805</v>
      </c>
      <c r="D183" s="2">
        <v>1542732.973</v>
      </c>
      <c r="E183" s="2">
        <v>5438259.599</v>
      </c>
      <c r="F183" s="2">
        <v>1697.62</v>
      </c>
      <c r="G183" s="2" t="s">
        <v>1586</v>
      </c>
      <c r="H183" s="2" t="s">
        <v>1807</v>
      </c>
      <c r="I183" s="2">
        <v>45733.0</v>
      </c>
      <c r="J183" s="2">
        <v>6.0</v>
      </c>
      <c r="K183" s="2" t="s">
        <v>36</v>
      </c>
      <c r="L183" s="2" t="s">
        <v>1546</v>
      </c>
      <c r="M183" s="2">
        <v>2.0</v>
      </c>
      <c r="N183" s="2">
        <v>5.0</v>
      </c>
      <c r="O183" s="2" t="s">
        <v>33</v>
      </c>
      <c r="P183" s="2">
        <v>20.0</v>
      </c>
      <c r="Q183" s="2">
        <v>15.0</v>
      </c>
      <c r="R183" s="2" t="s">
        <v>33</v>
      </c>
      <c r="S183" s="2">
        <v>40.0</v>
      </c>
      <c r="T183" s="2" t="s">
        <v>33</v>
      </c>
      <c r="U183" s="2">
        <v>20.0</v>
      </c>
      <c r="V183" s="2" t="s">
        <v>33</v>
      </c>
      <c r="W183" s="2">
        <v>100.0</v>
      </c>
      <c r="X183" s="2">
        <v>98.0</v>
      </c>
      <c r="Y183" s="2" t="s">
        <v>33</v>
      </c>
      <c r="Z183" s="2" t="s">
        <v>33</v>
      </c>
      <c r="AA183" s="2">
        <v>2.0</v>
      </c>
      <c r="AB183" s="2" t="s">
        <v>33</v>
      </c>
      <c r="AC183" s="2" t="s">
        <v>33</v>
      </c>
      <c r="AD183" s="2" t="s">
        <v>33</v>
      </c>
      <c r="AE183" s="2" t="s">
        <v>33</v>
      </c>
      <c r="AF183" s="2">
        <v>25.0</v>
      </c>
      <c r="AG183" s="2" t="s">
        <v>33</v>
      </c>
      <c r="AH183" s="2">
        <v>2.0</v>
      </c>
      <c r="AI183" s="2" t="s">
        <v>1811</v>
      </c>
      <c r="AJ183" s="2" t="s">
        <v>1812</v>
      </c>
      <c r="AK183" s="2">
        <v>18.0880332389426</v>
      </c>
      <c r="AL183" s="2">
        <v>32.9453748649155</v>
      </c>
      <c r="AM183" s="2" t="s">
        <v>55</v>
      </c>
      <c r="AN183" s="2">
        <v>1.3</v>
      </c>
      <c r="AO183" s="2" t="s">
        <v>36</v>
      </c>
      <c r="AP183" s="2" t="s">
        <v>33</v>
      </c>
      <c r="AQ183" s="2">
        <v>0.0222641509433962</v>
      </c>
      <c r="AR183" s="2">
        <v>0.052122641509434</v>
      </c>
      <c r="AS183" s="2">
        <v>2.0</v>
      </c>
    </row>
    <row r="184" ht="15.75" customHeight="1">
      <c r="A184" s="2">
        <v>29.0</v>
      </c>
      <c r="B184" s="2">
        <v>1694.27</v>
      </c>
      <c r="C184" s="2" t="s">
        <v>1815</v>
      </c>
      <c r="D184" s="2">
        <v>1542729.58</v>
      </c>
      <c r="E184" s="2">
        <v>5438258.251</v>
      </c>
      <c r="F184" s="2">
        <v>1694.27</v>
      </c>
      <c r="G184" s="2" t="s">
        <v>1586</v>
      </c>
      <c r="H184" s="2" t="s">
        <v>1818</v>
      </c>
      <c r="I184" s="2">
        <v>45733.0</v>
      </c>
      <c r="J184" s="2">
        <v>7.0</v>
      </c>
      <c r="K184" s="2" t="s">
        <v>36</v>
      </c>
      <c r="L184" s="2" t="s">
        <v>1546</v>
      </c>
      <c r="M184" s="2">
        <v>1.0</v>
      </c>
      <c r="N184" s="2" t="s">
        <v>33</v>
      </c>
      <c r="O184" s="2" t="s">
        <v>33</v>
      </c>
      <c r="P184" s="2">
        <v>15.0</v>
      </c>
      <c r="Q184" s="2">
        <v>35.0</v>
      </c>
      <c r="R184" s="2">
        <v>10.0</v>
      </c>
      <c r="S184" s="2">
        <v>25.0</v>
      </c>
      <c r="T184" s="2" t="s">
        <v>33</v>
      </c>
      <c r="U184" s="2">
        <v>15.0</v>
      </c>
      <c r="V184" s="2" t="s">
        <v>33</v>
      </c>
      <c r="W184" s="2">
        <v>100.0</v>
      </c>
      <c r="X184" s="2">
        <v>100.0</v>
      </c>
      <c r="Y184" s="2" t="s">
        <v>33</v>
      </c>
      <c r="Z184" s="2" t="s">
        <v>33</v>
      </c>
      <c r="AA184" s="2" t="s">
        <v>33</v>
      </c>
      <c r="AB184" s="2" t="s">
        <v>33</v>
      </c>
      <c r="AC184" s="2" t="s">
        <v>33</v>
      </c>
      <c r="AD184" s="2" t="s">
        <v>33</v>
      </c>
      <c r="AE184" s="2" t="s">
        <v>33</v>
      </c>
      <c r="AF184" s="2">
        <v>30.0</v>
      </c>
      <c r="AG184" s="2" t="s">
        <v>33</v>
      </c>
      <c r="AH184" s="2">
        <v>0.0</v>
      </c>
      <c r="AI184" s="2" t="s">
        <v>1823</v>
      </c>
      <c r="AJ184" s="2" t="s">
        <v>1824</v>
      </c>
      <c r="AK184" s="2">
        <v>20.2947508594472</v>
      </c>
      <c r="AL184" s="2">
        <v>36.4471032867533</v>
      </c>
      <c r="AM184" s="2" t="s">
        <v>55</v>
      </c>
      <c r="AN184" s="2">
        <v>1.3</v>
      </c>
      <c r="AO184" s="2" t="s">
        <v>36</v>
      </c>
      <c r="AP184" s="2" t="s">
        <v>33</v>
      </c>
      <c r="AQ184" s="2">
        <v>0.00235849056603774</v>
      </c>
      <c r="AR184" s="2" t="s">
        <v>33</v>
      </c>
      <c r="AS184" s="2">
        <v>1.0</v>
      </c>
    </row>
    <row r="185" ht="15.75" customHeight="1">
      <c r="A185" s="2">
        <v>30.0</v>
      </c>
      <c r="B185" s="2">
        <v>1652.47</v>
      </c>
      <c r="C185" s="2" t="s">
        <v>1749</v>
      </c>
      <c r="D185" s="2">
        <v>1543054.662</v>
      </c>
      <c r="E185" s="2">
        <v>5438262.225</v>
      </c>
      <c r="F185" s="2">
        <v>1652.47</v>
      </c>
      <c r="G185" s="2" t="s">
        <v>1546</v>
      </c>
      <c r="H185" s="2" t="s">
        <v>1827</v>
      </c>
      <c r="I185" s="2">
        <v>45733.0</v>
      </c>
      <c r="J185" s="2">
        <v>1.0</v>
      </c>
      <c r="K185" s="2" t="s">
        <v>36</v>
      </c>
      <c r="L185" s="2" t="s">
        <v>1586</v>
      </c>
      <c r="M185" s="2">
        <v>4.0</v>
      </c>
      <c r="N185" s="2" t="s">
        <v>33</v>
      </c>
      <c r="O185" s="2" t="s">
        <v>33</v>
      </c>
      <c r="P185" s="2">
        <v>100.0</v>
      </c>
      <c r="Q185" s="2" t="s">
        <v>33</v>
      </c>
      <c r="R185" s="2" t="s">
        <v>33</v>
      </c>
      <c r="S185" s="2" t="s">
        <v>33</v>
      </c>
      <c r="T185" s="2" t="s">
        <v>33</v>
      </c>
      <c r="U185" s="2" t="s">
        <v>33</v>
      </c>
      <c r="V185" s="2" t="s">
        <v>33</v>
      </c>
      <c r="W185" s="2">
        <v>100.0</v>
      </c>
      <c r="X185" s="2">
        <v>0.0</v>
      </c>
      <c r="Y185" s="2" t="s">
        <v>33</v>
      </c>
      <c r="Z185" s="2" t="s">
        <v>33</v>
      </c>
      <c r="AA185" s="2">
        <v>100.0</v>
      </c>
      <c r="AB185" s="2" t="s">
        <v>33</v>
      </c>
      <c r="AC185" s="2" t="s">
        <v>33</v>
      </c>
      <c r="AD185" s="2" t="s">
        <v>33</v>
      </c>
      <c r="AE185" s="2" t="s">
        <v>33</v>
      </c>
      <c r="AF185" s="2">
        <v>0.0</v>
      </c>
      <c r="AG185" s="2" t="s">
        <v>33</v>
      </c>
      <c r="AH185" s="2">
        <v>100.0</v>
      </c>
      <c r="AI185" s="2" t="s">
        <v>1831</v>
      </c>
      <c r="AJ185" s="2" t="s">
        <v>1833</v>
      </c>
      <c r="AK185" s="2">
        <v>1.07245689815039</v>
      </c>
      <c r="AL185" s="2">
        <v>306.817466499325</v>
      </c>
      <c r="AM185" s="2" t="s">
        <v>55</v>
      </c>
      <c r="AN185" s="2">
        <v>1.179</v>
      </c>
      <c r="AO185" s="2" t="s">
        <v>36</v>
      </c>
      <c r="AP185" s="2" t="s">
        <v>33</v>
      </c>
      <c r="AQ185" s="2">
        <v>0.997641509433962</v>
      </c>
      <c r="AR185" s="2" t="s">
        <v>33</v>
      </c>
      <c r="AS185" s="2">
        <v>4.0</v>
      </c>
    </row>
    <row r="186" ht="15.75" customHeight="1">
      <c r="A186" s="2">
        <v>30.0</v>
      </c>
      <c r="B186" s="2">
        <v>1652.6</v>
      </c>
      <c r="C186" s="2" t="s">
        <v>1760</v>
      </c>
      <c r="D186" s="2">
        <v>1543053.958</v>
      </c>
      <c r="E186" s="2">
        <v>5438261.555</v>
      </c>
      <c r="F186" s="2">
        <v>1652.6</v>
      </c>
      <c r="G186" s="2" t="s">
        <v>1546</v>
      </c>
      <c r="H186" s="2" t="s">
        <v>1836</v>
      </c>
      <c r="I186" s="2">
        <v>45733.0</v>
      </c>
      <c r="J186" s="2">
        <v>2.0</v>
      </c>
      <c r="K186" s="2" t="s">
        <v>36</v>
      </c>
      <c r="L186" s="2" t="s">
        <v>1586</v>
      </c>
      <c r="M186" s="2">
        <v>4.0</v>
      </c>
      <c r="N186" s="2">
        <v>30.0</v>
      </c>
      <c r="O186" s="2" t="s">
        <v>33</v>
      </c>
      <c r="P186" s="2">
        <v>65.0</v>
      </c>
      <c r="Q186" s="2" t="s">
        <v>33</v>
      </c>
      <c r="R186" s="2" t="s">
        <v>33</v>
      </c>
      <c r="S186" s="2" t="s">
        <v>33</v>
      </c>
      <c r="T186" s="2" t="s">
        <v>33</v>
      </c>
      <c r="U186" s="2">
        <v>5.0</v>
      </c>
      <c r="V186" s="2" t="s">
        <v>33</v>
      </c>
      <c r="W186" s="2">
        <v>100.0</v>
      </c>
      <c r="X186" s="2">
        <v>0.0</v>
      </c>
      <c r="Y186" s="2" t="s">
        <v>33</v>
      </c>
      <c r="Z186" s="2" t="s">
        <v>33</v>
      </c>
      <c r="AA186" s="2">
        <v>100.0</v>
      </c>
      <c r="AB186" s="2" t="s">
        <v>33</v>
      </c>
      <c r="AC186" s="2" t="s">
        <v>33</v>
      </c>
      <c r="AD186" s="2" t="s">
        <v>33</v>
      </c>
      <c r="AE186" s="2" t="s">
        <v>33</v>
      </c>
      <c r="AF186" s="2">
        <v>5.0</v>
      </c>
      <c r="AG186" s="2" t="s">
        <v>33</v>
      </c>
      <c r="AH186" s="2">
        <v>100.0</v>
      </c>
      <c r="AI186" s="2" t="s">
        <v>1842</v>
      </c>
      <c r="AJ186" s="2" t="s">
        <v>1843</v>
      </c>
      <c r="AK186" s="2">
        <v>1.67430892232866</v>
      </c>
      <c r="AL186" s="2">
        <v>306.157645119498</v>
      </c>
      <c r="AM186" s="2" t="s">
        <v>55</v>
      </c>
      <c r="AN186" s="2">
        <v>1.179</v>
      </c>
      <c r="AO186" s="2" t="s">
        <v>36</v>
      </c>
      <c r="AP186" s="2" t="s">
        <v>33</v>
      </c>
      <c r="AQ186" s="2">
        <v>0.997641509433962</v>
      </c>
      <c r="AR186" s="2">
        <v>0.300943396226415</v>
      </c>
      <c r="AS186" s="2">
        <v>4.0</v>
      </c>
    </row>
    <row r="187" ht="15.75" customHeight="1">
      <c r="A187" s="2">
        <v>30.0</v>
      </c>
      <c r="B187" s="2">
        <v>1652.33</v>
      </c>
      <c r="C187" s="2" t="s">
        <v>1775</v>
      </c>
      <c r="D187" s="2">
        <v>1543053.921</v>
      </c>
      <c r="E187" s="2">
        <v>5438261.237</v>
      </c>
      <c r="F187" s="2">
        <v>1652.33</v>
      </c>
      <c r="G187" s="2" t="s">
        <v>1546</v>
      </c>
      <c r="H187" s="2" t="s">
        <v>1846</v>
      </c>
      <c r="I187" s="2">
        <v>45733.0</v>
      </c>
      <c r="J187" s="2">
        <v>3.0</v>
      </c>
      <c r="K187" s="2" t="s">
        <v>36</v>
      </c>
      <c r="L187" s="2" t="s">
        <v>1586</v>
      </c>
      <c r="M187" s="2">
        <v>2.0</v>
      </c>
      <c r="N187" s="2" t="s">
        <v>33</v>
      </c>
      <c r="O187" s="2" t="s">
        <v>33</v>
      </c>
      <c r="P187" s="2">
        <v>70.0</v>
      </c>
      <c r="Q187" s="2" t="s">
        <v>33</v>
      </c>
      <c r="R187" s="2" t="s">
        <v>33</v>
      </c>
      <c r="S187" s="2" t="s">
        <v>33</v>
      </c>
      <c r="T187" s="2" t="s">
        <v>33</v>
      </c>
      <c r="U187" s="2">
        <v>30.0</v>
      </c>
      <c r="V187" s="2" t="s">
        <v>33</v>
      </c>
      <c r="W187" s="2">
        <v>100.0</v>
      </c>
      <c r="X187" s="2">
        <v>80.0</v>
      </c>
      <c r="Y187" s="2" t="s">
        <v>33</v>
      </c>
      <c r="Z187" s="2" t="s">
        <v>33</v>
      </c>
      <c r="AA187" s="2">
        <v>20.0</v>
      </c>
      <c r="AB187" s="2" t="s">
        <v>33</v>
      </c>
      <c r="AC187" s="2" t="s">
        <v>33</v>
      </c>
      <c r="AD187" s="2" t="s">
        <v>33</v>
      </c>
      <c r="AE187" s="2" t="s">
        <v>33</v>
      </c>
      <c r="AF187" s="2">
        <v>10.0</v>
      </c>
      <c r="AG187" s="2" t="s">
        <v>33</v>
      </c>
      <c r="AH187" s="2">
        <v>20.0</v>
      </c>
      <c r="AI187" s="2" t="s">
        <v>1851</v>
      </c>
      <c r="AJ187" s="2" t="s">
        <v>1852</v>
      </c>
      <c r="AK187" s="2">
        <v>1.3572668233832</v>
      </c>
      <c r="AL187" s="2">
        <v>306.141547510475</v>
      </c>
      <c r="AM187" s="2" t="s">
        <v>55</v>
      </c>
      <c r="AN187" s="2">
        <v>1.179</v>
      </c>
      <c r="AO187" s="2" t="s">
        <v>36</v>
      </c>
      <c r="AP187" s="2" t="s">
        <v>33</v>
      </c>
      <c r="AQ187" s="2">
        <v>0.201415094339623</v>
      </c>
      <c r="AR187" s="2" t="s">
        <v>33</v>
      </c>
      <c r="AS187" s="2">
        <v>2.0</v>
      </c>
    </row>
    <row r="188" ht="15.75" customHeight="1">
      <c r="A188" s="2">
        <v>30.0</v>
      </c>
      <c r="B188" s="2">
        <v>1651.78</v>
      </c>
      <c r="C188" s="2" t="s">
        <v>1787</v>
      </c>
      <c r="D188" s="2">
        <v>1543054.264</v>
      </c>
      <c r="E188" s="2">
        <v>5438260.937</v>
      </c>
      <c r="F188" s="2">
        <v>1651.78</v>
      </c>
      <c r="G188" s="2" t="s">
        <v>1546</v>
      </c>
      <c r="H188" s="2" t="s">
        <v>1855</v>
      </c>
      <c r="I188" s="2">
        <v>45733.0</v>
      </c>
      <c r="J188" s="2">
        <v>4.0</v>
      </c>
      <c r="K188" s="2" t="s">
        <v>36</v>
      </c>
      <c r="L188" s="2" t="s">
        <v>1586</v>
      </c>
      <c r="M188" s="2">
        <v>4.0</v>
      </c>
      <c r="N188" s="2">
        <v>20.0</v>
      </c>
      <c r="O188" s="2" t="s">
        <v>33</v>
      </c>
      <c r="P188" s="2">
        <v>80.0</v>
      </c>
      <c r="Q188" s="2" t="s">
        <v>33</v>
      </c>
      <c r="R188" s="2" t="s">
        <v>33</v>
      </c>
      <c r="S188" s="2" t="s">
        <v>33</v>
      </c>
      <c r="T188" s="2" t="s">
        <v>33</v>
      </c>
      <c r="U188" s="2" t="s">
        <v>33</v>
      </c>
      <c r="V188" s="2" t="s">
        <v>33</v>
      </c>
      <c r="W188" s="2">
        <v>100.0</v>
      </c>
      <c r="X188" s="2">
        <v>70.0</v>
      </c>
      <c r="Y188" s="2" t="s">
        <v>33</v>
      </c>
      <c r="Z188" s="2" t="s">
        <v>33</v>
      </c>
      <c r="AA188" s="2">
        <v>30.0</v>
      </c>
      <c r="AB188" s="2" t="s">
        <v>33</v>
      </c>
      <c r="AC188" s="2" t="s">
        <v>33</v>
      </c>
      <c r="AD188" s="2" t="s">
        <v>33</v>
      </c>
      <c r="AE188" s="2" t="s">
        <v>33</v>
      </c>
      <c r="AF188" s="2">
        <v>15.0</v>
      </c>
      <c r="AG188" s="2" t="s">
        <v>33</v>
      </c>
      <c r="AH188" s="2">
        <v>30.0</v>
      </c>
      <c r="AI188" s="2" t="s">
        <v>1860</v>
      </c>
      <c r="AJ188" s="2" t="s">
        <v>1861</v>
      </c>
      <c r="AK188" s="2">
        <v>1.04928478296639</v>
      </c>
      <c r="AL188" s="2">
        <v>306.503725140537</v>
      </c>
      <c r="AM188" s="2" t="s">
        <v>55</v>
      </c>
      <c r="AN188" s="2">
        <v>1.179</v>
      </c>
      <c r="AO188" s="2" t="s">
        <v>36</v>
      </c>
      <c r="AP188" s="2" t="s">
        <v>33</v>
      </c>
      <c r="AQ188" s="2">
        <v>0.300943396226415</v>
      </c>
      <c r="AR188" s="2">
        <v>0.201415094339623</v>
      </c>
      <c r="AS188" s="2">
        <v>4.0</v>
      </c>
    </row>
    <row r="189" ht="15.75" customHeight="1">
      <c r="A189" s="2">
        <v>30.0</v>
      </c>
      <c r="B189" s="2">
        <v>1651.78</v>
      </c>
      <c r="C189" s="2" t="s">
        <v>1797</v>
      </c>
      <c r="D189" s="2">
        <v>1543054.264</v>
      </c>
      <c r="E189" s="2">
        <v>5438260.937</v>
      </c>
      <c r="F189" s="2">
        <v>1651.78</v>
      </c>
      <c r="G189" s="2" t="s">
        <v>1546</v>
      </c>
      <c r="H189" s="2" t="s">
        <v>1864</v>
      </c>
      <c r="I189" s="2">
        <v>45733.0</v>
      </c>
      <c r="J189" s="2">
        <v>5.0</v>
      </c>
      <c r="K189" s="2" t="s">
        <v>36</v>
      </c>
      <c r="L189" s="2" t="s">
        <v>1586</v>
      </c>
      <c r="M189" s="2">
        <v>4.0</v>
      </c>
      <c r="N189" s="2">
        <v>80.0</v>
      </c>
      <c r="O189" s="2" t="s">
        <v>33</v>
      </c>
      <c r="P189" s="2">
        <v>20.0</v>
      </c>
      <c r="Q189" s="2" t="s">
        <v>33</v>
      </c>
      <c r="R189" s="2" t="s">
        <v>33</v>
      </c>
      <c r="S189" s="2" t="s">
        <v>33</v>
      </c>
      <c r="T189" s="2" t="s">
        <v>33</v>
      </c>
      <c r="U189" s="2" t="s">
        <v>33</v>
      </c>
      <c r="V189" s="2" t="s">
        <v>33</v>
      </c>
      <c r="W189" s="2">
        <v>100.0</v>
      </c>
      <c r="X189" s="2">
        <v>0.0</v>
      </c>
      <c r="Y189" s="2" t="s">
        <v>33</v>
      </c>
      <c r="Z189" s="2" t="s">
        <v>33</v>
      </c>
      <c r="AA189" s="2">
        <v>40.0</v>
      </c>
      <c r="AB189" s="2">
        <v>60.0</v>
      </c>
      <c r="AC189" s="2" t="s">
        <v>33</v>
      </c>
      <c r="AD189" s="2" t="s">
        <v>33</v>
      </c>
      <c r="AE189" s="2" t="s">
        <v>33</v>
      </c>
      <c r="AF189" s="2">
        <v>20.0</v>
      </c>
      <c r="AG189" s="2" t="s">
        <v>33</v>
      </c>
      <c r="AH189" s="2">
        <v>100.0</v>
      </c>
      <c r="AI189" s="2" t="s">
        <v>1860</v>
      </c>
      <c r="AJ189" s="2" t="s">
        <v>1861</v>
      </c>
      <c r="AK189" s="2">
        <v>1.04928478296639</v>
      </c>
      <c r="AL189" s="2">
        <v>306.503725140537</v>
      </c>
      <c r="AM189" s="2" t="s">
        <v>55</v>
      </c>
      <c r="AN189" s="2">
        <v>1.179</v>
      </c>
      <c r="AO189" s="2" t="s">
        <v>36</v>
      </c>
      <c r="AP189" s="2" t="s">
        <v>33</v>
      </c>
      <c r="AQ189" s="2">
        <v>0.997641509433962</v>
      </c>
      <c r="AR189" s="2">
        <v>0.798584905660377</v>
      </c>
      <c r="AS189" s="2">
        <v>4.0</v>
      </c>
    </row>
    <row r="190" ht="15.75" customHeight="1">
      <c r="A190" s="2">
        <v>30.0</v>
      </c>
      <c r="B190" s="2">
        <v>1640.62</v>
      </c>
      <c r="C190" s="2" t="s">
        <v>1805</v>
      </c>
      <c r="D190" s="2">
        <v>1543064.636</v>
      </c>
      <c r="E190" s="2">
        <v>5438256.764</v>
      </c>
      <c r="F190" s="2">
        <v>1640.62</v>
      </c>
      <c r="G190" s="2" t="s">
        <v>1546</v>
      </c>
      <c r="H190" s="2" t="s">
        <v>1869</v>
      </c>
      <c r="I190" s="2">
        <v>45733.0</v>
      </c>
      <c r="J190" s="2">
        <v>6.0</v>
      </c>
      <c r="K190" s="2" t="s">
        <v>36</v>
      </c>
      <c r="L190" s="2" t="s">
        <v>1586</v>
      </c>
      <c r="M190" s="2">
        <v>2.0</v>
      </c>
      <c r="N190" s="2" t="s">
        <v>33</v>
      </c>
      <c r="O190" s="2" t="s">
        <v>33</v>
      </c>
      <c r="P190" s="2">
        <v>70.0</v>
      </c>
      <c r="Q190" s="2" t="s">
        <v>33</v>
      </c>
      <c r="R190" s="2">
        <v>5.0</v>
      </c>
      <c r="S190" s="2">
        <v>20.0</v>
      </c>
      <c r="T190" s="2" t="s">
        <v>33</v>
      </c>
      <c r="U190" s="2" t="s">
        <v>33</v>
      </c>
      <c r="V190" s="2">
        <v>5.0</v>
      </c>
      <c r="W190" s="2">
        <v>100.0</v>
      </c>
      <c r="X190" s="2">
        <v>100.0</v>
      </c>
      <c r="Y190" s="2" t="s">
        <v>33</v>
      </c>
      <c r="Z190" s="2" t="s">
        <v>33</v>
      </c>
      <c r="AA190" s="2" t="s">
        <v>33</v>
      </c>
      <c r="AB190" s="2" t="s">
        <v>33</v>
      </c>
      <c r="AC190" s="2" t="s">
        <v>33</v>
      </c>
      <c r="AD190" s="2" t="s">
        <v>33</v>
      </c>
      <c r="AE190" s="2" t="s">
        <v>33</v>
      </c>
      <c r="AF190" s="2">
        <v>25.0</v>
      </c>
      <c r="AG190" s="2" t="s">
        <v>33</v>
      </c>
      <c r="AH190" s="2">
        <v>0.0</v>
      </c>
      <c r="AI190" s="2" t="s">
        <v>1874</v>
      </c>
      <c r="AJ190" s="2" t="s">
        <v>1876</v>
      </c>
      <c r="AK190" s="2">
        <v>9.71139526455066</v>
      </c>
      <c r="AL190" s="2">
        <v>317.150653100361</v>
      </c>
      <c r="AM190" s="2" t="s">
        <v>55</v>
      </c>
      <c r="AN190" s="2">
        <v>1.179</v>
      </c>
      <c r="AO190" s="2" t="s">
        <v>36</v>
      </c>
      <c r="AP190" s="2" t="s">
        <v>33</v>
      </c>
      <c r="AQ190" s="2">
        <v>0.00235849056603774</v>
      </c>
      <c r="AR190" s="2" t="s">
        <v>33</v>
      </c>
      <c r="AS190" s="2">
        <v>2.0</v>
      </c>
    </row>
    <row r="191" ht="15.75" customHeight="1">
      <c r="A191" s="2">
        <v>30.0</v>
      </c>
      <c r="B191" s="2">
        <v>1648.63</v>
      </c>
      <c r="C191" s="2" t="s">
        <v>1815</v>
      </c>
      <c r="D191" s="2">
        <v>1543069.116</v>
      </c>
      <c r="E191" s="2">
        <v>5438253.088</v>
      </c>
      <c r="F191" s="2">
        <v>1648.63</v>
      </c>
      <c r="G191" s="2" t="s">
        <v>1546</v>
      </c>
      <c r="H191" s="2" t="s">
        <v>1877</v>
      </c>
      <c r="I191" s="2">
        <v>45733.0</v>
      </c>
      <c r="J191" s="2">
        <v>7.0</v>
      </c>
      <c r="K191" s="2" t="s">
        <v>36</v>
      </c>
      <c r="L191" s="2" t="s">
        <v>1586</v>
      </c>
      <c r="M191" s="2">
        <v>2.0</v>
      </c>
      <c r="N191" s="2" t="s">
        <v>33</v>
      </c>
      <c r="O191" s="2" t="s">
        <v>33</v>
      </c>
      <c r="P191" s="2">
        <v>65.0</v>
      </c>
      <c r="Q191" s="2" t="s">
        <v>33</v>
      </c>
      <c r="R191" s="2">
        <v>10.0</v>
      </c>
      <c r="S191" s="2">
        <v>5.0</v>
      </c>
      <c r="T191" s="2" t="s">
        <v>33</v>
      </c>
      <c r="U191" s="2">
        <v>20.0</v>
      </c>
      <c r="V191" s="2" t="s">
        <v>33</v>
      </c>
      <c r="W191" s="2">
        <v>100.0</v>
      </c>
      <c r="X191" s="2">
        <v>100.0</v>
      </c>
      <c r="Y191" s="2" t="s">
        <v>33</v>
      </c>
      <c r="Z191" s="2" t="s">
        <v>33</v>
      </c>
      <c r="AA191" s="2" t="s">
        <v>33</v>
      </c>
      <c r="AB191" s="2" t="s">
        <v>33</v>
      </c>
      <c r="AC191" s="2" t="s">
        <v>33</v>
      </c>
      <c r="AD191" s="2" t="s">
        <v>33</v>
      </c>
      <c r="AE191" s="2" t="s">
        <v>33</v>
      </c>
      <c r="AF191" s="2">
        <v>30.0</v>
      </c>
      <c r="AG191" s="2" t="s">
        <v>33</v>
      </c>
      <c r="AH191" s="2">
        <v>0.0</v>
      </c>
      <c r="AI191" s="2" t="s">
        <v>1881</v>
      </c>
      <c r="AJ191" s="2" t="s">
        <v>1882</v>
      </c>
      <c r="AK191" s="2">
        <v>15.2764055650412</v>
      </c>
      <c r="AL191" s="2">
        <v>321.920197542759</v>
      </c>
      <c r="AM191" s="2" t="s">
        <v>55</v>
      </c>
      <c r="AN191" s="2">
        <v>1.179</v>
      </c>
      <c r="AO191" s="2" t="s">
        <v>36</v>
      </c>
      <c r="AP191" s="2" t="s">
        <v>33</v>
      </c>
      <c r="AQ191" s="2">
        <v>0.00235849056603774</v>
      </c>
      <c r="AR191" s="2" t="s">
        <v>33</v>
      </c>
      <c r="AS191" s="2">
        <v>2.0</v>
      </c>
    </row>
    <row r="192" ht="15.75" customHeight="1">
      <c r="A192" s="2">
        <v>30.0</v>
      </c>
      <c r="B192" s="2">
        <v>1645.59</v>
      </c>
      <c r="C192" s="2" t="s">
        <v>1883</v>
      </c>
      <c r="D192" s="2">
        <v>1543069.433</v>
      </c>
      <c r="E192" s="2">
        <v>5438252.826</v>
      </c>
      <c r="F192" s="2">
        <v>1645.59</v>
      </c>
      <c r="G192" s="2" t="s">
        <v>1546</v>
      </c>
      <c r="H192" s="2" t="s">
        <v>1884</v>
      </c>
      <c r="I192" s="2">
        <v>45733.0</v>
      </c>
      <c r="J192" s="2">
        <v>8.0</v>
      </c>
      <c r="K192" s="2" t="s">
        <v>36</v>
      </c>
      <c r="L192" s="2" t="s">
        <v>1586</v>
      </c>
      <c r="M192" s="2">
        <v>1.0</v>
      </c>
      <c r="N192" s="2" t="s">
        <v>33</v>
      </c>
      <c r="O192" s="2" t="s">
        <v>33</v>
      </c>
      <c r="P192" s="2">
        <v>40.0</v>
      </c>
      <c r="Q192" s="2" t="s">
        <v>33</v>
      </c>
      <c r="R192" s="2">
        <v>30.0</v>
      </c>
      <c r="S192" s="2">
        <v>10.0</v>
      </c>
      <c r="T192" s="2" t="s">
        <v>33</v>
      </c>
      <c r="U192" s="2">
        <v>20.0</v>
      </c>
      <c r="V192" s="2" t="s">
        <v>33</v>
      </c>
      <c r="W192" s="2">
        <v>100.0</v>
      </c>
      <c r="X192" s="2">
        <v>100.0</v>
      </c>
      <c r="Y192" s="2" t="s">
        <v>33</v>
      </c>
      <c r="Z192" s="2" t="s">
        <v>33</v>
      </c>
      <c r="AA192" s="2" t="s">
        <v>33</v>
      </c>
      <c r="AB192" s="2" t="s">
        <v>33</v>
      </c>
      <c r="AC192" s="2" t="s">
        <v>33</v>
      </c>
      <c r="AD192" s="2" t="s">
        <v>33</v>
      </c>
      <c r="AE192" s="2" t="s">
        <v>33</v>
      </c>
      <c r="AF192" s="2">
        <v>35.0</v>
      </c>
      <c r="AG192" s="2" t="s">
        <v>33</v>
      </c>
      <c r="AH192" s="2">
        <v>0.0</v>
      </c>
      <c r="AI192" s="2" t="s">
        <v>1885</v>
      </c>
      <c r="AJ192" s="2" t="s">
        <v>1886</v>
      </c>
      <c r="AK192" s="2">
        <v>15.6773525778528</v>
      </c>
      <c r="AL192" s="2">
        <v>322.259126922729</v>
      </c>
      <c r="AM192" s="2" t="s">
        <v>55</v>
      </c>
      <c r="AN192" s="2">
        <v>1.179</v>
      </c>
      <c r="AO192" s="2" t="s">
        <v>36</v>
      </c>
      <c r="AP192" s="2" t="s">
        <v>33</v>
      </c>
      <c r="AQ192" s="2">
        <v>0.00235849056603774</v>
      </c>
      <c r="AR192" s="2" t="s">
        <v>33</v>
      </c>
      <c r="AS192" s="2">
        <v>1.0</v>
      </c>
    </row>
    <row r="193" ht="15.75" customHeight="1">
      <c r="A193" s="2">
        <v>31.0</v>
      </c>
      <c r="B193" s="2">
        <v>926.07</v>
      </c>
      <c r="C193" s="2" t="s">
        <v>1887</v>
      </c>
      <c r="D193" s="2">
        <v>1538515.956</v>
      </c>
      <c r="E193" s="2">
        <v>5427305.386</v>
      </c>
      <c r="F193" s="2">
        <v>926.07</v>
      </c>
      <c r="G193" s="2" t="s">
        <v>1613</v>
      </c>
      <c r="H193" s="2" t="s">
        <v>1889</v>
      </c>
      <c r="I193" s="2">
        <v>45753.0</v>
      </c>
      <c r="J193" s="2">
        <v>1.0</v>
      </c>
      <c r="K193" s="2" t="s">
        <v>36</v>
      </c>
      <c r="L193" s="2" t="s">
        <v>1613</v>
      </c>
      <c r="M193" s="2">
        <v>4.0</v>
      </c>
      <c r="N193" s="2">
        <v>98.0</v>
      </c>
      <c r="O193" s="2">
        <v>2.0</v>
      </c>
      <c r="P193" s="2" t="s">
        <v>33</v>
      </c>
      <c r="Q193" s="2" t="s">
        <v>33</v>
      </c>
      <c r="R193" s="2" t="s">
        <v>33</v>
      </c>
      <c r="S193" s="2" t="s">
        <v>33</v>
      </c>
      <c r="T193" s="2" t="s">
        <v>33</v>
      </c>
      <c r="U193" s="2" t="s">
        <v>33</v>
      </c>
      <c r="V193" s="2" t="s">
        <v>33</v>
      </c>
      <c r="W193" s="2">
        <v>100.0</v>
      </c>
      <c r="X193" s="2">
        <v>0.0</v>
      </c>
      <c r="Y193" s="2" t="s">
        <v>33</v>
      </c>
      <c r="Z193" s="2" t="s">
        <v>33</v>
      </c>
      <c r="AA193" s="2">
        <v>100.0</v>
      </c>
      <c r="AB193" s="2" t="s">
        <v>33</v>
      </c>
      <c r="AC193" s="2" t="s">
        <v>33</v>
      </c>
      <c r="AD193" s="2" t="s">
        <v>33</v>
      </c>
      <c r="AE193" s="2" t="s">
        <v>33</v>
      </c>
      <c r="AF193" s="2">
        <v>0.0</v>
      </c>
      <c r="AG193" s="2" t="s">
        <v>33</v>
      </c>
      <c r="AH193" s="2">
        <v>100.0</v>
      </c>
      <c r="AI193" s="2" t="s">
        <v>1892</v>
      </c>
      <c r="AJ193" s="2" t="s">
        <v>1894</v>
      </c>
      <c r="AK193" s="2">
        <v>1.31078715507035</v>
      </c>
      <c r="AL193" s="2">
        <v>4.97187067424461</v>
      </c>
      <c r="AM193" s="2" t="s">
        <v>55</v>
      </c>
      <c r="AN193" s="2">
        <v>1.27</v>
      </c>
      <c r="AO193" s="2" t="s">
        <v>36</v>
      </c>
      <c r="AP193" s="2" t="s">
        <v>33</v>
      </c>
      <c r="AQ193" s="2">
        <v>0.997641509433962</v>
      </c>
      <c r="AR193" s="2">
        <v>0.977735849056604</v>
      </c>
      <c r="AS193" s="2">
        <v>4.0</v>
      </c>
    </row>
    <row r="194" ht="15.75" customHeight="1">
      <c r="A194" s="2">
        <v>31.0</v>
      </c>
      <c r="B194" s="2">
        <v>927.16</v>
      </c>
      <c r="C194" s="2" t="s">
        <v>1897</v>
      </c>
      <c r="D194" s="2">
        <v>1538514.812</v>
      </c>
      <c r="E194" s="2">
        <v>5427303.973</v>
      </c>
      <c r="F194" s="2">
        <v>927.16</v>
      </c>
      <c r="G194" s="2" t="s">
        <v>1613</v>
      </c>
      <c r="H194" s="2" t="s">
        <v>1900</v>
      </c>
      <c r="I194" s="2">
        <v>45753.0</v>
      </c>
      <c r="J194" s="2">
        <v>2.0</v>
      </c>
      <c r="K194" s="2" t="s">
        <v>36</v>
      </c>
      <c r="L194" s="2" t="s">
        <v>1613</v>
      </c>
      <c r="M194" s="2">
        <v>4.0</v>
      </c>
      <c r="N194" s="2">
        <v>80.0</v>
      </c>
      <c r="O194" s="2">
        <v>5.0</v>
      </c>
      <c r="P194" s="2">
        <v>15.0</v>
      </c>
      <c r="Q194" s="2" t="s">
        <v>33</v>
      </c>
      <c r="R194" s="2" t="s">
        <v>33</v>
      </c>
      <c r="S194" s="2" t="s">
        <v>33</v>
      </c>
      <c r="T194" s="2" t="s">
        <v>33</v>
      </c>
      <c r="U194" s="2" t="s">
        <v>33</v>
      </c>
      <c r="V194" s="2" t="s">
        <v>33</v>
      </c>
      <c r="W194" s="2">
        <v>100.0</v>
      </c>
      <c r="X194" s="2">
        <v>0.0</v>
      </c>
      <c r="Y194" s="2" t="s">
        <v>33</v>
      </c>
      <c r="Z194" s="2" t="s">
        <v>33</v>
      </c>
      <c r="AA194" s="2" t="s">
        <v>33</v>
      </c>
      <c r="AB194" s="2" t="s">
        <v>33</v>
      </c>
      <c r="AC194" s="2">
        <v>100.0</v>
      </c>
      <c r="AD194" s="2" t="s">
        <v>33</v>
      </c>
      <c r="AE194" s="2" t="s">
        <v>33</v>
      </c>
      <c r="AF194" s="2">
        <v>5.0</v>
      </c>
      <c r="AG194" s="2" t="s">
        <v>33</v>
      </c>
      <c r="AH194" s="2">
        <v>100.0</v>
      </c>
      <c r="AI194" s="2" t="s">
        <v>1901</v>
      </c>
      <c r="AJ194" s="2" t="s">
        <v>1902</v>
      </c>
      <c r="AK194" s="2">
        <v>0.353754691886565</v>
      </c>
      <c r="AL194" s="2">
        <v>4.54882897056403</v>
      </c>
      <c r="AM194" s="2" t="s">
        <v>55</v>
      </c>
      <c r="AN194" s="2">
        <v>1.27</v>
      </c>
      <c r="AO194" s="2" t="s">
        <v>36</v>
      </c>
      <c r="AP194" s="2" t="s">
        <v>33</v>
      </c>
      <c r="AQ194" s="2">
        <v>0.997641509433962</v>
      </c>
      <c r="AR194" s="2">
        <v>0.798584905660377</v>
      </c>
      <c r="AS194" s="2">
        <v>4.0</v>
      </c>
    </row>
    <row r="195" ht="15.75" customHeight="1">
      <c r="A195" s="2">
        <v>31.0</v>
      </c>
      <c r="B195" s="2">
        <v>927.16</v>
      </c>
      <c r="C195" s="2" t="s">
        <v>1903</v>
      </c>
      <c r="D195" s="2">
        <v>1538514.812</v>
      </c>
      <c r="E195" s="2">
        <v>5427303.973</v>
      </c>
      <c r="F195" s="2">
        <v>927.16</v>
      </c>
      <c r="G195" s="2" t="s">
        <v>1613</v>
      </c>
      <c r="H195" s="2" t="s">
        <v>1904</v>
      </c>
      <c r="I195" s="2">
        <v>45753.0</v>
      </c>
      <c r="J195" s="2">
        <v>3.0</v>
      </c>
      <c r="K195" s="2" t="s">
        <v>36</v>
      </c>
      <c r="L195" s="2" t="s">
        <v>1613</v>
      </c>
      <c r="M195" s="2">
        <v>2.0</v>
      </c>
      <c r="N195" s="2" t="s">
        <v>33</v>
      </c>
      <c r="O195" s="2" t="s">
        <v>33</v>
      </c>
      <c r="P195" s="2">
        <v>90.0</v>
      </c>
      <c r="Q195" s="2">
        <v>10.0</v>
      </c>
      <c r="R195" s="2" t="s">
        <v>33</v>
      </c>
      <c r="S195" s="2" t="s">
        <v>33</v>
      </c>
      <c r="T195" s="2" t="s">
        <v>33</v>
      </c>
      <c r="U195" s="2" t="s">
        <v>33</v>
      </c>
      <c r="V195" s="2" t="s">
        <v>33</v>
      </c>
      <c r="W195" s="2">
        <v>100.0</v>
      </c>
      <c r="X195" s="2">
        <v>30.0</v>
      </c>
      <c r="Y195" s="2" t="s">
        <v>33</v>
      </c>
      <c r="Z195" s="2" t="s">
        <v>33</v>
      </c>
      <c r="AA195" s="2">
        <v>70.0</v>
      </c>
      <c r="AB195" s="2" t="s">
        <v>33</v>
      </c>
      <c r="AC195" s="2" t="s">
        <v>33</v>
      </c>
      <c r="AD195" s="2" t="s">
        <v>33</v>
      </c>
      <c r="AE195" s="2" t="s">
        <v>33</v>
      </c>
      <c r="AF195" s="2">
        <v>10.0</v>
      </c>
      <c r="AG195" s="2" t="s">
        <v>33</v>
      </c>
      <c r="AH195" s="2">
        <v>70.0</v>
      </c>
      <c r="AI195" s="2" t="s">
        <v>1901</v>
      </c>
      <c r="AJ195" s="2" t="s">
        <v>1902</v>
      </c>
      <c r="AK195" s="2">
        <v>0.353754691886565</v>
      </c>
      <c r="AL195" s="2">
        <v>4.54882897056403</v>
      </c>
      <c r="AM195" s="2" t="s">
        <v>55</v>
      </c>
      <c r="AN195" s="2">
        <v>1.27</v>
      </c>
      <c r="AO195" s="2" t="s">
        <v>36</v>
      </c>
      <c r="AP195" s="2" t="s">
        <v>33</v>
      </c>
      <c r="AQ195" s="2">
        <v>0.699056603773585</v>
      </c>
      <c r="AR195" s="2" t="s">
        <v>33</v>
      </c>
      <c r="AS195" s="2">
        <v>2.0</v>
      </c>
    </row>
    <row r="196" ht="15.75" customHeight="1">
      <c r="A196" s="2">
        <v>31.0</v>
      </c>
      <c r="B196" s="2">
        <v>930.44</v>
      </c>
      <c r="C196" s="2" t="s">
        <v>1906</v>
      </c>
      <c r="D196" s="2">
        <v>1538512.342</v>
      </c>
      <c r="E196" s="2">
        <v>5427300.737</v>
      </c>
      <c r="F196" s="2">
        <v>930.44</v>
      </c>
      <c r="G196" s="2" t="s">
        <v>1613</v>
      </c>
      <c r="H196" s="2" t="s">
        <v>1910</v>
      </c>
      <c r="I196" s="2">
        <v>45753.0</v>
      </c>
      <c r="J196" s="2">
        <v>4.0</v>
      </c>
      <c r="K196" s="2" t="s">
        <v>36</v>
      </c>
      <c r="L196" s="2" t="s">
        <v>1613</v>
      </c>
      <c r="M196" s="2">
        <v>2.0</v>
      </c>
      <c r="N196" s="2" t="s">
        <v>33</v>
      </c>
      <c r="O196" s="2" t="s">
        <v>33</v>
      </c>
      <c r="P196" s="2" t="s">
        <v>33</v>
      </c>
      <c r="Q196" s="2" t="s">
        <v>33</v>
      </c>
      <c r="R196" s="2">
        <v>100.0</v>
      </c>
      <c r="S196" s="2" t="s">
        <v>33</v>
      </c>
      <c r="T196" s="2" t="s">
        <v>33</v>
      </c>
      <c r="U196" s="2" t="s">
        <v>33</v>
      </c>
      <c r="V196" s="2" t="s">
        <v>33</v>
      </c>
      <c r="W196" s="2">
        <v>100.0</v>
      </c>
      <c r="X196" s="2">
        <v>90.0</v>
      </c>
      <c r="Y196" s="2" t="s">
        <v>33</v>
      </c>
      <c r="Z196" s="2" t="s">
        <v>33</v>
      </c>
      <c r="AA196" s="2">
        <v>10.0</v>
      </c>
      <c r="AB196" s="2" t="s">
        <v>33</v>
      </c>
      <c r="AC196" s="2" t="s">
        <v>33</v>
      </c>
      <c r="AD196" s="2" t="s">
        <v>33</v>
      </c>
      <c r="AE196" s="2" t="s">
        <v>33</v>
      </c>
      <c r="AF196" s="2">
        <v>15.0</v>
      </c>
      <c r="AG196" s="2" t="s">
        <v>33</v>
      </c>
      <c r="AH196" s="2">
        <v>10.0</v>
      </c>
      <c r="AI196" s="2" t="s">
        <v>1911</v>
      </c>
      <c r="AJ196" s="2" t="s">
        <v>1912</v>
      </c>
      <c r="AK196" s="2">
        <v>4.03257150993395</v>
      </c>
      <c r="AL196" s="2">
        <v>5.8811914610176</v>
      </c>
      <c r="AM196" s="2" t="s">
        <v>55</v>
      </c>
      <c r="AN196" s="2">
        <v>1.27</v>
      </c>
      <c r="AO196" s="2" t="s">
        <v>36</v>
      </c>
      <c r="AP196" s="2" t="s">
        <v>33</v>
      </c>
      <c r="AQ196" s="2">
        <v>0.10188679245283</v>
      </c>
      <c r="AR196" s="2" t="s">
        <v>33</v>
      </c>
      <c r="AS196" s="2">
        <v>2.0</v>
      </c>
    </row>
    <row r="197" ht="15.75" customHeight="1">
      <c r="A197" s="2">
        <v>31.0</v>
      </c>
      <c r="B197" s="2">
        <v>934.05</v>
      </c>
      <c r="C197" s="2" t="s">
        <v>1913</v>
      </c>
      <c r="D197" s="2">
        <v>1538503.618</v>
      </c>
      <c r="E197" s="2">
        <v>5427296.725</v>
      </c>
      <c r="F197" s="2">
        <v>934.05</v>
      </c>
      <c r="G197" s="2" t="s">
        <v>1613</v>
      </c>
      <c r="H197" s="2" t="s">
        <v>1915</v>
      </c>
      <c r="I197" s="2">
        <v>45753.0</v>
      </c>
      <c r="J197" s="2">
        <v>5.0</v>
      </c>
      <c r="K197" s="2" t="s">
        <v>36</v>
      </c>
      <c r="L197" s="2" t="s">
        <v>1613</v>
      </c>
      <c r="M197" s="2">
        <v>2.0</v>
      </c>
      <c r="N197" s="2" t="s">
        <v>33</v>
      </c>
      <c r="O197" s="2" t="s">
        <v>33</v>
      </c>
      <c r="P197" s="2">
        <v>10.0</v>
      </c>
      <c r="Q197" s="2">
        <v>20.0</v>
      </c>
      <c r="R197" s="2">
        <v>70.0</v>
      </c>
      <c r="S197" s="2" t="s">
        <v>33</v>
      </c>
      <c r="T197" s="2" t="s">
        <v>33</v>
      </c>
      <c r="U197" s="2" t="s">
        <v>33</v>
      </c>
      <c r="V197" s="2" t="s">
        <v>33</v>
      </c>
      <c r="W197" s="2">
        <v>100.0</v>
      </c>
      <c r="X197" s="2">
        <v>90.0</v>
      </c>
      <c r="Y197" s="2" t="s">
        <v>33</v>
      </c>
      <c r="Z197" s="2" t="s">
        <v>33</v>
      </c>
      <c r="AA197" s="2">
        <v>10.0</v>
      </c>
      <c r="AB197" s="2" t="s">
        <v>33</v>
      </c>
      <c r="AC197" s="2" t="s">
        <v>33</v>
      </c>
      <c r="AD197" s="2" t="s">
        <v>33</v>
      </c>
      <c r="AE197" s="2" t="s">
        <v>33</v>
      </c>
      <c r="AF197" s="2">
        <v>20.0</v>
      </c>
      <c r="AG197" s="2" t="s">
        <v>33</v>
      </c>
      <c r="AH197" s="2">
        <v>10.0</v>
      </c>
      <c r="AI197" s="2" t="s">
        <v>1916</v>
      </c>
      <c r="AJ197" s="2" t="s">
        <v>1917</v>
      </c>
      <c r="AK197" s="2">
        <v>13.6250346382732</v>
      </c>
      <c r="AL197" s="2">
        <v>15.2024983802715</v>
      </c>
      <c r="AM197" s="2" t="s">
        <v>55</v>
      </c>
      <c r="AN197" s="2">
        <v>1.27</v>
      </c>
      <c r="AO197" s="2" t="s">
        <v>36</v>
      </c>
      <c r="AP197" s="2" t="s">
        <v>33</v>
      </c>
      <c r="AQ197" s="2">
        <v>0.10188679245283</v>
      </c>
      <c r="AR197" s="2" t="s">
        <v>33</v>
      </c>
      <c r="AS197" s="2">
        <v>2.0</v>
      </c>
    </row>
    <row r="198" ht="15.75" customHeight="1">
      <c r="A198" s="2">
        <v>31.0</v>
      </c>
      <c r="B198" s="2">
        <v>934.05</v>
      </c>
      <c r="C198" s="2" t="s">
        <v>1918</v>
      </c>
      <c r="D198" s="2">
        <v>1538503.618</v>
      </c>
      <c r="E198" s="2">
        <v>5427296.725</v>
      </c>
      <c r="F198" s="2">
        <v>934.05</v>
      </c>
      <c r="G198" s="2" t="s">
        <v>1613</v>
      </c>
      <c r="H198" s="2" t="s">
        <v>1919</v>
      </c>
      <c r="I198" s="2">
        <v>45753.0</v>
      </c>
      <c r="J198" s="2">
        <v>6.0</v>
      </c>
      <c r="K198" s="2" t="s">
        <v>36</v>
      </c>
      <c r="L198" s="2" t="s">
        <v>1613</v>
      </c>
      <c r="M198" s="2">
        <v>1.0</v>
      </c>
      <c r="N198" s="2" t="s">
        <v>33</v>
      </c>
      <c r="O198" s="2">
        <v>20.0</v>
      </c>
      <c r="P198" s="2" t="s">
        <v>33</v>
      </c>
      <c r="Q198" s="2">
        <v>20.0</v>
      </c>
      <c r="R198" s="2">
        <v>60.0</v>
      </c>
      <c r="S198" s="2" t="s">
        <v>33</v>
      </c>
      <c r="T198" s="2" t="s">
        <v>33</v>
      </c>
      <c r="U198" s="2" t="s">
        <v>33</v>
      </c>
      <c r="V198" s="2" t="s">
        <v>33</v>
      </c>
      <c r="W198" s="2">
        <v>100.0</v>
      </c>
      <c r="X198" s="2">
        <v>100.0</v>
      </c>
      <c r="Y198" s="2" t="s">
        <v>33</v>
      </c>
      <c r="Z198" s="2" t="s">
        <v>33</v>
      </c>
      <c r="AA198" s="2" t="s">
        <v>33</v>
      </c>
      <c r="AB198" s="2" t="s">
        <v>33</v>
      </c>
      <c r="AC198" s="2" t="s">
        <v>33</v>
      </c>
      <c r="AD198" s="2" t="s">
        <v>33</v>
      </c>
      <c r="AE198" s="2" t="s">
        <v>33</v>
      </c>
      <c r="AF198" s="2">
        <v>25.0</v>
      </c>
      <c r="AG198" s="2" t="s">
        <v>33</v>
      </c>
      <c r="AH198" s="2">
        <v>0.0</v>
      </c>
      <c r="AI198" s="2" t="s">
        <v>1916</v>
      </c>
      <c r="AJ198" s="2" t="s">
        <v>1917</v>
      </c>
      <c r="AK198" s="2">
        <v>13.6250346382732</v>
      </c>
      <c r="AL198" s="2">
        <v>15.2024983802715</v>
      </c>
      <c r="AM198" s="2" t="s">
        <v>55</v>
      </c>
      <c r="AN198" s="2">
        <v>1.27</v>
      </c>
      <c r="AO198" s="2" t="s">
        <v>36</v>
      </c>
      <c r="AP198" s="2" t="s">
        <v>33</v>
      </c>
      <c r="AQ198" s="2">
        <v>0.00235849056603774</v>
      </c>
      <c r="AR198" s="2" t="s">
        <v>33</v>
      </c>
      <c r="AS198" s="2">
        <v>1.0</v>
      </c>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9" width="9.14"/>
  </cols>
  <sheetData>
    <row r="1" ht="12.75" customHeight="1">
      <c r="A1" s="2" t="s">
        <v>65</v>
      </c>
      <c r="B1" s="2" t="s">
        <v>198</v>
      </c>
      <c r="C1" s="2" t="s">
        <v>200</v>
      </c>
      <c r="D1" s="2" t="s">
        <v>203</v>
      </c>
      <c r="E1" s="2" t="s">
        <v>204</v>
      </c>
      <c r="F1" s="2" t="s">
        <v>206</v>
      </c>
      <c r="G1" s="2" t="s">
        <v>209</v>
      </c>
      <c r="H1" s="2" t="s">
        <v>210</v>
      </c>
      <c r="I1" s="2" t="s">
        <v>211</v>
      </c>
      <c r="J1" s="2" t="s">
        <v>212</v>
      </c>
      <c r="K1" s="2" t="s">
        <v>216</v>
      </c>
      <c r="L1" s="2" t="s">
        <v>217</v>
      </c>
      <c r="M1" s="2" t="s">
        <v>218</v>
      </c>
      <c r="N1" s="2" t="s">
        <v>220</v>
      </c>
      <c r="O1" s="2" t="s">
        <v>221</v>
      </c>
      <c r="P1" s="2" t="s">
        <v>222</v>
      </c>
      <c r="Q1" s="2" t="s">
        <v>224</v>
      </c>
      <c r="R1" s="2" t="s">
        <v>225</v>
      </c>
      <c r="S1" s="2" t="s">
        <v>226</v>
      </c>
      <c r="T1" s="2" t="s">
        <v>231</v>
      </c>
      <c r="U1" s="2" t="s">
        <v>232</v>
      </c>
      <c r="V1" s="2" t="s">
        <v>235</v>
      </c>
      <c r="W1" s="2" t="s">
        <v>237</v>
      </c>
      <c r="X1" s="2" t="s">
        <v>238</v>
      </c>
      <c r="Y1" s="2" t="s">
        <v>239</v>
      </c>
      <c r="Z1" s="2" t="s">
        <v>241</v>
      </c>
      <c r="AA1" s="2" t="s">
        <v>252</v>
      </c>
      <c r="AB1" s="2" t="s">
        <v>254</v>
      </c>
      <c r="AC1" s="2" t="s">
        <v>255</v>
      </c>
      <c r="AD1" s="2" t="s">
        <v>256</v>
      </c>
      <c r="AE1" s="2" t="s">
        <v>257</v>
      </c>
      <c r="AF1" s="2" t="s">
        <v>258</v>
      </c>
      <c r="AG1" s="2" t="s">
        <v>259</v>
      </c>
      <c r="AH1" s="2" t="s">
        <v>260</v>
      </c>
      <c r="AI1" s="2" t="s">
        <v>261</v>
      </c>
      <c r="AJ1" s="2" t="s">
        <v>263</v>
      </c>
      <c r="AK1" s="2" t="s">
        <v>264</v>
      </c>
      <c r="AL1" s="2" t="s">
        <v>265</v>
      </c>
      <c r="AM1" s="2" t="s">
        <v>267</v>
      </c>
      <c r="AN1" s="2" t="s">
        <v>268</v>
      </c>
      <c r="AO1" s="2" t="s">
        <v>269</v>
      </c>
      <c r="AP1" s="2" t="s">
        <v>270</v>
      </c>
      <c r="AQ1" s="2" t="s">
        <v>272</v>
      </c>
      <c r="AR1" s="2" t="s">
        <v>273</v>
      </c>
      <c r="AS1" s="2" t="s">
        <v>274</v>
      </c>
      <c r="AT1" s="2" t="s">
        <v>275</v>
      </c>
      <c r="AU1" s="2" t="s">
        <v>277</v>
      </c>
      <c r="AV1" s="2" t="s">
        <v>279</v>
      </c>
      <c r="AW1" s="2" t="s">
        <v>281</v>
      </c>
      <c r="AX1" s="2" t="s">
        <v>282</v>
      </c>
      <c r="AY1" s="2" t="s">
        <v>284</v>
      </c>
      <c r="AZ1" s="2" t="s">
        <v>285</v>
      </c>
      <c r="BA1" s="2" t="s">
        <v>287</v>
      </c>
      <c r="BB1" s="2" t="s">
        <v>288</v>
      </c>
      <c r="BC1" s="2" t="s">
        <v>289</v>
      </c>
      <c r="BD1" s="2" t="s">
        <v>290</v>
      </c>
      <c r="BE1" s="2" t="s">
        <v>291</v>
      </c>
      <c r="BF1" s="2" t="s">
        <v>294</v>
      </c>
      <c r="BG1" s="2" t="s">
        <v>295</v>
      </c>
      <c r="BH1" s="2" t="s">
        <v>296</v>
      </c>
      <c r="BI1" s="2" t="s">
        <v>297</v>
      </c>
      <c r="BJ1" s="2" t="s">
        <v>299</v>
      </c>
      <c r="BK1" s="2" t="s">
        <v>301</v>
      </c>
      <c r="BL1" s="2" t="s">
        <v>302</v>
      </c>
      <c r="BM1" s="2" t="s">
        <v>303</v>
      </c>
      <c r="BN1" s="2" t="s">
        <v>305</v>
      </c>
      <c r="BO1" s="2" t="s">
        <v>307</v>
      </c>
      <c r="BP1" s="2" t="s">
        <v>308</v>
      </c>
      <c r="BQ1" s="2" t="s">
        <v>309</v>
      </c>
      <c r="BR1" s="2" t="s">
        <v>310</v>
      </c>
      <c r="BS1" s="2" t="s">
        <v>312</v>
      </c>
      <c r="BT1" s="2" t="s">
        <v>313</v>
      </c>
      <c r="BU1" s="2" t="s">
        <v>315</v>
      </c>
      <c r="BV1" s="2" t="s">
        <v>320</v>
      </c>
      <c r="BW1" s="2" t="s">
        <v>321</v>
      </c>
      <c r="BX1" s="2" t="s">
        <v>322</v>
      </c>
      <c r="BY1" s="2" t="s">
        <v>323</v>
      </c>
      <c r="BZ1" s="2" t="s">
        <v>324</v>
      </c>
      <c r="CA1" s="2" t="s">
        <v>325</v>
      </c>
      <c r="CB1" s="2" t="s">
        <v>326</v>
      </c>
      <c r="CC1" s="2" t="s">
        <v>328</v>
      </c>
      <c r="CD1" s="2" t="s">
        <v>330</v>
      </c>
      <c r="CE1" s="2" t="s">
        <v>331</v>
      </c>
      <c r="CF1" s="2" t="s">
        <v>334</v>
      </c>
      <c r="CG1" s="2" t="s">
        <v>335</v>
      </c>
      <c r="CH1" s="2" t="s">
        <v>336</v>
      </c>
      <c r="CI1" s="2" t="s">
        <v>337</v>
      </c>
      <c r="CJ1" s="2" t="s">
        <v>338</v>
      </c>
      <c r="CK1" s="2" t="s">
        <v>340</v>
      </c>
      <c r="CL1" s="2" t="s">
        <v>341</v>
      </c>
      <c r="CM1" s="2" t="s">
        <v>342</v>
      </c>
      <c r="CN1" s="2" t="s">
        <v>343</v>
      </c>
      <c r="CO1" s="2" t="s">
        <v>344</v>
      </c>
      <c r="CP1" s="2" t="s">
        <v>347</v>
      </c>
      <c r="CQ1" s="2" t="s">
        <v>348</v>
      </c>
      <c r="CR1" s="2" t="s">
        <v>350</v>
      </c>
      <c r="CS1" s="2" t="s">
        <v>352</v>
      </c>
      <c r="CT1" s="2" t="s">
        <v>354</v>
      </c>
      <c r="CU1" s="2" t="s">
        <v>355</v>
      </c>
    </row>
    <row r="2" ht="12.75" customHeight="1">
      <c r="A2" s="2">
        <v>1.0</v>
      </c>
      <c r="B2" s="2">
        <v>3.0</v>
      </c>
      <c r="C2" s="2" t="s">
        <v>358</v>
      </c>
      <c r="D2" s="2" t="s">
        <v>359</v>
      </c>
      <c r="E2" s="2" t="s">
        <v>360</v>
      </c>
      <c r="F2" s="2" t="s">
        <v>361</v>
      </c>
      <c r="G2" s="2" t="s">
        <v>361</v>
      </c>
      <c r="H2" s="2" t="s">
        <v>362</v>
      </c>
      <c r="I2" s="2" t="s">
        <v>363</v>
      </c>
      <c r="J2" s="2" t="s">
        <v>365</v>
      </c>
      <c r="K2" s="2" t="s">
        <v>366</v>
      </c>
      <c r="L2" s="2" t="s">
        <v>367</v>
      </c>
      <c r="M2" s="2" t="s">
        <v>368</v>
      </c>
      <c r="N2" s="2" t="s">
        <v>369</v>
      </c>
      <c r="O2" s="2" t="s">
        <v>370</v>
      </c>
      <c r="P2" s="2" t="s">
        <v>372</v>
      </c>
      <c r="Q2" s="2" t="s">
        <v>361</v>
      </c>
      <c r="R2" s="2" t="s">
        <v>361</v>
      </c>
      <c r="S2" s="2" t="s">
        <v>376</v>
      </c>
      <c r="T2" s="2" t="s">
        <v>376</v>
      </c>
      <c r="U2" s="2" t="s">
        <v>376</v>
      </c>
      <c r="V2" s="2" t="s">
        <v>376</v>
      </c>
      <c r="W2" s="2" t="s">
        <v>376</v>
      </c>
      <c r="X2" s="2" t="s">
        <v>378</v>
      </c>
      <c r="Y2" s="2" t="s">
        <v>378</v>
      </c>
      <c r="Z2" s="2" t="s">
        <v>378</v>
      </c>
      <c r="AA2" s="2" t="s">
        <v>382</v>
      </c>
      <c r="AB2" s="2" t="s">
        <v>384</v>
      </c>
      <c r="AC2" s="2" t="s">
        <v>385</v>
      </c>
      <c r="AD2" s="2" t="s">
        <v>386</v>
      </c>
      <c r="AE2" s="2" t="s">
        <v>387</v>
      </c>
      <c r="AF2" s="2" t="s">
        <v>388</v>
      </c>
      <c r="AG2" s="2" t="s">
        <v>33</v>
      </c>
      <c r="AH2" s="2" t="s">
        <v>33</v>
      </c>
      <c r="AI2" s="2" t="s">
        <v>33</v>
      </c>
      <c r="AJ2" s="2" t="s">
        <v>33</v>
      </c>
      <c r="AK2" s="2" t="s">
        <v>33</v>
      </c>
      <c r="AL2" s="2">
        <v>3.0</v>
      </c>
      <c r="AM2" s="2">
        <v>5.0</v>
      </c>
      <c r="AN2" s="2">
        <v>2.0</v>
      </c>
      <c r="AO2" s="2">
        <v>4.0</v>
      </c>
      <c r="AP2" s="2">
        <v>3.0</v>
      </c>
      <c r="AQ2" s="2">
        <v>1.0</v>
      </c>
      <c r="AR2" s="2">
        <v>1.0</v>
      </c>
      <c r="AS2" s="2">
        <v>3.0</v>
      </c>
      <c r="AT2" s="2">
        <v>3.0</v>
      </c>
      <c r="AU2" s="2">
        <v>2.0</v>
      </c>
      <c r="AV2" s="2">
        <v>5.0</v>
      </c>
      <c r="AW2" s="2">
        <v>5.0</v>
      </c>
      <c r="AX2" s="2">
        <v>3.0</v>
      </c>
      <c r="AY2" s="2">
        <v>2.0</v>
      </c>
      <c r="AZ2" s="2">
        <v>4.0</v>
      </c>
      <c r="BA2" s="2">
        <v>4.0</v>
      </c>
      <c r="BB2" s="2">
        <v>1.0</v>
      </c>
      <c r="BC2" s="2">
        <v>2.0</v>
      </c>
      <c r="BD2" s="2">
        <v>1.0</v>
      </c>
      <c r="BE2" s="2">
        <v>5.0</v>
      </c>
      <c r="BF2" s="2">
        <v>1.0</v>
      </c>
      <c r="BG2" s="2">
        <v>1.0</v>
      </c>
      <c r="BH2" s="2">
        <v>1.0</v>
      </c>
      <c r="BI2" s="2">
        <v>1.0</v>
      </c>
      <c r="BJ2" s="2">
        <v>2.0</v>
      </c>
      <c r="BK2" s="2">
        <v>2.0</v>
      </c>
      <c r="BL2" s="2">
        <v>2.0</v>
      </c>
      <c r="BM2" s="2">
        <v>1.0</v>
      </c>
      <c r="BN2" s="2">
        <v>5.0</v>
      </c>
      <c r="BO2" s="2">
        <v>1.0</v>
      </c>
      <c r="BP2" s="2">
        <v>2.0</v>
      </c>
      <c r="BQ2" s="2" t="s">
        <v>389</v>
      </c>
      <c r="BR2" s="2" t="s">
        <v>390</v>
      </c>
      <c r="BS2" s="2" t="s">
        <v>391</v>
      </c>
      <c r="BT2" s="2" t="s">
        <v>392</v>
      </c>
      <c r="BU2" s="2" t="s">
        <v>393</v>
      </c>
      <c r="BV2" s="2" t="s">
        <v>394</v>
      </c>
      <c r="BW2" s="2" t="s">
        <v>395</v>
      </c>
      <c r="BX2" s="2" t="s">
        <v>396</v>
      </c>
      <c r="BY2" s="2" t="s">
        <v>33</v>
      </c>
      <c r="BZ2" s="2" t="s">
        <v>33</v>
      </c>
      <c r="CA2" s="2" t="s">
        <v>33</v>
      </c>
      <c r="CB2" s="2" t="s">
        <v>33</v>
      </c>
      <c r="CC2" s="3" t="s">
        <v>397</v>
      </c>
      <c r="CD2" s="2" t="s">
        <v>33</v>
      </c>
      <c r="CE2" s="2" t="s">
        <v>33</v>
      </c>
      <c r="CF2" s="2" t="s">
        <v>33</v>
      </c>
      <c r="CG2" s="2" t="s">
        <v>33</v>
      </c>
      <c r="CH2" s="2" t="s">
        <v>33</v>
      </c>
      <c r="CI2" s="2" t="s">
        <v>33</v>
      </c>
      <c r="CJ2" s="2" t="s">
        <v>33</v>
      </c>
      <c r="CK2" s="2" t="s">
        <v>425</v>
      </c>
      <c r="CL2" s="2" t="s">
        <v>367</v>
      </c>
      <c r="CM2" s="4">
        <v>45303.0</v>
      </c>
      <c r="CN2" s="4">
        <v>45305.0</v>
      </c>
      <c r="CO2" s="2">
        <v>3.0</v>
      </c>
      <c r="CP2" s="2" t="s">
        <v>434</v>
      </c>
      <c r="CQ2" s="2" t="s">
        <v>369</v>
      </c>
      <c r="CR2" s="2" t="s">
        <v>370</v>
      </c>
      <c r="CS2" s="2" t="s">
        <v>434</v>
      </c>
      <c r="CT2" s="2" t="s">
        <v>368</v>
      </c>
      <c r="CU2" s="2" t="s">
        <v>372</v>
      </c>
    </row>
    <row r="3" ht="12.75" customHeight="1">
      <c r="A3" s="2">
        <v>2.0</v>
      </c>
      <c r="B3" s="2">
        <v>5.0</v>
      </c>
      <c r="C3" s="2" t="s">
        <v>358</v>
      </c>
      <c r="D3" s="2" t="s">
        <v>359</v>
      </c>
      <c r="E3" s="2" t="s">
        <v>360</v>
      </c>
      <c r="F3" s="2" t="s">
        <v>437</v>
      </c>
      <c r="G3" s="2" t="s">
        <v>437</v>
      </c>
      <c r="H3" s="2" t="s">
        <v>362</v>
      </c>
      <c r="I3" s="2" t="s">
        <v>438</v>
      </c>
      <c r="J3" s="2" t="s">
        <v>438</v>
      </c>
      <c r="K3" s="2" t="s">
        <v>366</v>
      </c>
      <c r="L3" s="2" t="s">
        <v>440</v>
      </c>
      <c r="M3" s="2" t="s">
        <v>368</v>
      </c>
      <c r="N3" s="2" t="s">
        <v>441</v>
      </c>
      <c r="O3" s="2" t="s">
        <v>442</v>
      </c>
      <c r="P3" s="2" t="s">
        <v>372</v>
      </c>
      <c r="Q3" s="2" t="s">
        <v>443</v>
      </c>
      <c r="R3" s="2" t="s">
        <v>443</v>
      </c>
      <c r="S3" s="2" t="s">
        <v>378</v>
      </c>
      <c r="T3" s="2" t="s">
        <v>378</v>
      </c>
      <c r="U3" s="2" t="s">
        <v>376</v>
      </c>
      <c r="V3" s="2" t="s">
        <v>378</v>
      </c>
      <c r="W3" s="2" t="s">
        <v>378</v>
      </c>
      <c r="X3" s="2" t="s">
        <v>444</v>
      </c>
      <c r="Y3" s="2" t="s">
        <v>444</v>
      </c>
      <c r="Z3" s="2" t="s">
        <v>444</v>
      </c>
      <c r="AA3" s="2" t="s">
        <v>447</v>
      </c>
      <c r="AB3" s="2" t="s">
        <v>359</v>
      </c>
      <c r="AC3" s="2" t="s">
        <v>450</v>
      </c>
      <c r="AD3" s="2" t="s">
        <v>451</v>
      </c>
      <c r="AE3" s="2" t="s">
        <v>452</v>
      </c>
      <c r="AF3" s="2" t="s">
        <v>386</v>
      </c>
      <c r="AG3" s="2" t="s">
        <v>387</v>
      </c>
      <c r="AH3" s="2" t="s">
        <v>388</v>
      </c>
      <c r="AI3" s="2" t="s">
        <v>454</v>
      </c>
      <c r="AJ3" s="2" t="s">
        <v>455</v>
      </c>
      <c r="AK3" s="2" t="s">
        <v>33</v>
      </c>
      <c r="AL3" s="2">
        <v>5.0</v>
      </c>
      <c r="AM3" s="2">
        <v>5.0</v>
      </c>
      <c r="AN3" s="2">
        <v>1.0</v>
      </c>
      <c r="AO3" s="2">
        <v>2.0</v>
      </c>
      <c r="AP3" s="2">
        <v>3.0</v>
      </c>
      <c r="AQ3" s="2">
        <v>1.0</v>
      </c>
      <c r="AR3" s="2">
        <v>4.0</v>
      </c>
      <c r="AS3" s="2">
        <v>4.0</v>
      </c>
      <c r="AT3" s="2">
        <v>2.0</v>
      </c>
      <c r="AU3" s="2">
        <v>1.0</v>
      </c>
      <c r="AV3" s="2">
        <v>5.0</v>
      </c>
      <c r="AW3" s="2">
        <v>5.0</v>
      </c>
      <c r="AX3" s="2">
        <v>2.0</v>
      </c>
      <c r="AY3" s="2">
        <v>5.0</v>
      </c>
      <c r="AZ3" s="2">
        <v>1.0</v>
      </c>
      <c r="BA3" s="2">
        <v>1.0</v>
      </c>
      <c r="BB3" s="2">
        <v>3.0</v>
      </c>
      <c r="BC3" s="2">
        <v>2.0</v>
      </c>
      <c r="BD3" s="2">
        <v>4.0</v>
      </c>
      <c r="BE3" s="2">
        <v>3.0</v>
      </c>
      <c r="BF3" s="2">
        <v>2.0</v>
      </c>
      <c r="BG3" s="2">
        <v>2.0</v>
      </c>
      <c r="BH3" s="2">
        <v>1.0</v>
      </c>
      <c r="BI3" s="2">
        <v>1.0</v>
      </c>
      <c r="BJ3" s="2">
        <v>3.0</v>
      </c>
      <c r="BK3" s="2">
        <v>2.0</v>
      </c>
      <c r="BL3" s="2">
        <v>1.0</v>
      </c>
      <c r="BM3" s="2">
        <v>2.0</v>
      </c>
      <c r="BN3" s="2">
        <v>4.0</v>
      </c>
      <c r="BO3" s="2">
        <v>2.0</v>
      </c>
      <c r="BP3" s="2">
        <v>3.0</v>
      </c>
      <c r="BQ3" s="2" t="s">
        <v>390</v>
      </c>
      <c r="BR3" s="2" t="s">
        <v>391</v>
      </c>
      <c r="BS3" s="2" t="s">
        <v>392</v>
      </c>
      <c r="BT3" s="2" t="s">
        <v>393</v>
      </c>
      <c r="BU3" s="2" t="s">
        <v>394</v>
      </c>
      <c r="BV3" s="2" t="s">
        <v>396</v>
      </c>
      <c r="BW3" s="2" t="s">
        <v>33</v>
      </c>
      <c r="BX3" s="2" t="s">
        <v>33</v>
      </c>
      <c r="BY3" s="2" t="s">
        <v>33</v>
      </c>
      <c r="BZ3" s="2" t="s">
        <v>33</v>
      </c>
      <c r="CA3" s="2" t="s">
        <v>33</v>
      </c>
      <c r="CB3" s="2" t="s">
        <v>33</v>
      </c>
      <c r="CC3" s="2" t="s">
        <v>463</v>
      </c>
      <c r="CD3" s="2" t="s">
        <v>33</v>
      </c>
      <c r="CE3" s="2" t="s">
        <v>33</v>
      </c>
      <c r="CF3" s="2" t="s">
        <v>33</v>
      </c>
      <c r="CG3" s="2" t="s">
        <v>33</v>
      </c>
      <c r="CH3" s="2" t="s">
        <v>33</v>
      </c>
      <c r="CI3" s="2" t="s">
        <v>33</v>
      </c>
      <c r="CJ3" s="2" t="s">
        <v>33</v>
      </c>
      <c r="CK3" s="2" t="s">
        <v>438</v>
      </c>
      <c r="CL3" s="2" t="s">
        <v>466</v>
      </c>
      <c r="CM3" s="2" t="s">
        <v>33</v>
      </c>
      <c r="CN3" s="2" t="s">
        <v>33</v>
      </c>
      <c r="CO3" s="2" t="s">
        <v>33</v>
      </c>
      <c r="CP3" s="2" t="s">
        <v>434</v>
      </c>
      <c r="CQ3" s="2" t="s">
        <v>441</v>
      </c>
      <c r="CR3" s="2" t="s">
        <v>442</v>
      </c>
      <c r="CS3" s="2" t="s">
        <v>434</v>
      </c>
      <c r="CT3" s="2" t="s">
        <v>368</v>
      </c>
      <c r="CU3" s="2" t="s">
        <v>372</v>
      </c>
    </row>
    <row r="4" ht="12.75" customHeight="1">
      <c r="A4" s="2">
        <v>3.0</v>
      </c>
      <c r="B4" s="2">
        <v>4.0</v>
      </c>
      <c r="C4" s="2" t="s">
        <v>358</v>
      </c>
      <c r="D4" s="2" t="s">
        <v>359</v>
      </c>
      <c r="E4" s="2" t="s">
        <v>473</v>
      </c>
      <c r="F4" s="2" t="s">
        <v>437</v>
      </c>
      <c r="G4" s="2" t="s">
        <v>437</v>
      </c>
      <c r="H4" s="2" t="s">
        <v>474</v>
      </c>
      <c r="I4" s="2" t="s">
        <v>363</v>
      </c>
      <c r="J4" s="2" t="s">
        <v>365</v>
      </c>
      <c r="K4" s="2" t="s">
        <v>366</v>
      </c>
      <c r="L4" s="2" t="s">
        <v>367</v>
      </c>
      <c r="M4" s="2" t="s">
        <v>368</v>
      </c>
      <c r="N4" s="2" t="s">
        <v>478</v>
      </c>
      <c r="O4" s="2" t="s">
        <v>479</v>
      </c>
      <c r="P4" s="2" t="s">
        <v>372</v>
      </c>
      <c r="Q4" s="2" t="s">
        <v>480</v>
      </c>
      <c r="R4" s="2" t="s">
        <v>480</v>
      </c>
      <c r="S4" s="2" t="s">
        <v>378</v>
      </c>
      <c r="T4" s="2" t="s">
        <v>376</v>
      </c>
      <c r="U4" s="2" t="s">
        <v>376</v>
      </c>
      <c r="V4" s="2" t="s">
        <v>378</v>
      </c>
      <c r="W4" s="2" t="s">
        <v>444</v>
      </c>
      <c r="X4" s="2" t="s">
        <v>444</v>
      </c>
      <c r="Y4" s="2" t="s">
        <v>444</v>
      </c>
      <c r="Z4" s="2" t="s">
        <v>444</v>
      </c>
      <c r="AA4" s="2" t="s">
        <v>447</v>
      </c>
      <c r="AB4" s="2" t="s">
        <v>490</v>
      </c>
      <c r="AC4" s="2" t="s">
        <v>385</v>
      </c>
      <c r="AD4" s="2" t="s">
        <v>386</v>
      </c>
      <c r="AE4" s="2" t="s">
        <v>33</v>
      </c>
      <c r="AF4" s="2" t="s">
        <v>33</v>
      </c>
      <c r="AG4" s="2" t="s">
        <v>33</v>
      </c>
      <c r="AH4" s="2" t="s">
        <v>33</v>
      </c>
      <c r="AI4" s="2" t="s">
        <v>33</v>
      </c>
      <c r="AJ4" s="2" t="s">
        <v>33</v>
      </c>
      <c r="AK4" s="2" t="s">
        <v>33</v>
      </c>
      <c r="AL4" s="2">
        <v>2.0</v>
      </c>
      <c r="AM4" s="2">
        <v>5.0</v>
      </c>
      <c r="AN4" s="2">
        <v>1.0</v>
      </c>
      <c r="AO4" s="2">
        <v>1.0</v>
      </c>
      <c r="AP4" s="2">
        <v>4.0</v>
      </c>
      <c r="AQ4" s="2">
        <v>1.0</v>
      </c>
      <c r="AR4" s="2">
        <v>2.0</v>
      </c>
      <c r="AS4" s="2">
        <v>2.0</v>
      </c>
      <c r="AT4" s="2">
        <v>2.0</v>
      </c>
      <c r="AU4" s="2">
        <v>1.0</v>
      </c>
      <c r="AV4" s="2">
        <v>5.0</v>
      </c>
      <c r="AW4" s="2">
        <v>5.0</v>
      </c>
      <c r="AX4" s="2">
        <v>3.0</v>
      </c>
      <c r="AY4" s="2">
        <v>3.0</v>
      </c>
      <c r="AZ4" s="2">
        <v>1.0</v>
      </c>
      <c r="BA4" s="2">
        <v>5.0</v>
      </c>
      <c r="BB4" s="2">
        <v>1.0</v>
      </c>
      <c r="BC4" s="2">
        <v>1.0</v>
      </c>
      <c r="BD4" s="2">
        <v>3.0</v>
      </c>
      <c r="BE4" s="2">
        <v>5.0</v>
      </c>
      <c r="BF4" s="2">
        <v>1.0</v>
      </c>
      <c r="BG4" s="2">
        <v>1.0</v>
      </c>
      <c r="BH4" s="2">
        <v>1.0</v>
      </c>
      <c r="BI4" s="2">
        <v>1.0</v>
      </c>
      <c r="BJ4" s="2">
        <v>1.0</v>
      </c>
      <c r="BK4" s="2">
        <v>1.0</v>
      </c>
      <c r="BL4" s="2">
        <v>1.0</v>
      </c>
      <c r="BM4" s="2">
        <v>1.0</v>
      </c>
      <c r="BN4" s="2">
        <v>5.0</v>
      </c>
      <c r="BO4" s="2">
        <v>1.0</v>
      </c>
      <c r="BP4" s="2">
        <v>1.0</v>
      </c>
      <c r="BQ4" s="2" t="s">
        <v>389</v>
      </c>
      <c r="BR4" s="2" t="s">
        <v>390</v>
      </c>
      <c r="BS4" s="2" t="s">
        <v>391</v>
      </c>
      <c r="BT4" s="2" t="s">
        <v>393</v>
      </c>
      <c r="BU4" s="2" t="s">
        <v>394</v>
      </c>
      <c r="BV4" s="2" t="s">
        <v>395</v>
      </c>
      <c r="BW4" s="2" t="s">
        <v>519</v>
      </c>
      <c r="BX4" s="2" t="s">
        <v>396</v>
      </c>
      <c r="BY4" s="2" t="s">
        <v>33</v>
      </c>
      <c r="BZ4" s="2" t="s">
        <v>33</v>
      </c>
      <c r="CA4" s="2" t="s">
        <v>33</v>
      </c>
      <c r="CB4" s="2" t="s">
        <v>33</v>
      </c>
      <c r="CC4" s="2" t="s">
        <v>521</v>
      </c>
      <c r="CD4" s="2" t="s">
        <v>33</v>
      </c>
      <c r="CE4" s="2" t="s">
        <v>33</v>
      </c>
      <c r="CF4" s="2" t="s">
        <v>33</v>
      </c>
      <c r="CG4" s="2" t="s">
        <v>33</v>
      </c>
      <c r="CH4" s="2" t="s">
        <v>33</v>
      </c>
      <c r="CI4" s="2" t="s">
        <v>33</v>
      </c>
      <c r="CJ4" s="2" t="s">
        <v>33</v>
      </c>
      <c r="CK4" s="2" t="s">
        <v>425</v>
      </c>
      <c r="CL4" s="2" t="s">
        <v>367</v>
      </c>
      <c r="CM4" s="4">
        <v>45302.0</v>
      </c>
      <c r="CN4" s="4">
        <v>45307.0</v>
      </c>
      <c r="CO4" s="2">
        <v>6.0</v>
      </c>
      <c r="CP4" s="2" t="s">
        <v>529</v>
      </c>
      <c r="CQ4" s="2" t="s">
        <v>478</v>
      </c>
      <c r="CR4" s="2" t="s">
        <v>479</v>
      </c>
      <c r="CS4" s="2" t="s">
        <v>529</v>
      </c>
      <c r="CT4" s="2" t="s">
        <v>368</v>
      </c>
      <c r="CU4" s="2" t="s">
        <v>372</v>
      </c>
    </row>
    <row r="5" ht="12.75" customHeight="1">
      <c r="A5" s="2">
        <v>4.0</v>
      </c>
      <c r="B5" s="2">
        <v>8.0</v>
      </c>
      <c r="C5" s="2" t="s">
        <v>358</v>
      </c>
      <c r="D5" s="2" t="s">
        <v>359</v>
      </c>
      <c r="E5" s="2" t="s">
        <v>360</v>
      </c>
      <c r="F5" s="2" t="s">
        <v>539</v>
      </c>
      <c r="G5" s="2" t="s">
        <v>539</v>
      </c>
      <c r="H5" s="2" t="s">
        <v>540</v>
      </c>
      <c r="I5" s="2" t="s">
        <v>363</v>
      </c>
      <c r="J5" s="2" t="s">
        <v>365</v>
      </c>
      <c r="K5" s="2" t="s">
        <v>366</v>
      </c>
      <c r="L5" s="2" t="s">
        <v>367</v>
      </c>
      <c r="M5" s="2" t="s">
        <v>368</v>
      </c>
      <c r="N5" s="2" t="s">
        <v>369</v>
      </c>
      <c r="O5" s="2" t="s">
        <v>442</v>
      </c>
      <c r="P5" s="2" t="s">
        <v>372</v>
      </c>
      <c r="Q5" s="2" t="s">
        <v>361</v>
      </c>
      <c r="R5" s="2" t="s">
        <v>361</v>
      </c>
      <c r="S5" s="2" t="s">
        <v>378</v>
      </c>
      <c r="T5" s="2" t="s">
        <v>376</v>
      </c>
      <c r="U5" s="2" t="s">
        <v>376</v>
      </c>
      <c r="V5" s="2" t="s">
        <v>376</v>
      </c>
      <c r="W5" s="2" t="s">
        <v>444</v>
      </c>
      <c r="X5" s="2" t="s">
        <v>378</v>
      </c>
      <c r="Y5" s="2" t="s">
        <v>444</v>
      </c>
      <c r="Z5" s="2" t="s">
        <v>378</v>
      </c>
      <c r="AA5" s="2" t="s">
        <v>382</v>
      </c>
      <c r="AB5" s="2" t="s">
        <v>551</v>
      </c>
      <c r="AC5" s="2" t="s">
        <v>552</v>
      </c>
      <c r="AD5" s="2" t="s">
        <v>452</v>
      </c>
      <c r="AE5" s="2" t="s">
        <v>386</v>
      </c>
      <c r="AF5" s="2" t="s">
        <v>387</v>
      </c>
      <c r="AG5" s="2" t="s">
        <v>388</v>
      </c>
      <c r="AH5" s="2" t="s">
        <v>33</v>
      </c>
      <c r="AI5" s="2" t="s">
        <v>33</v>
      </c>
      <c r="AJ5" s="2" t="s">
        <v>33</v>
      </c>
      <c r="AK5" s="2" t="s">
        <v>33</v>
      </c>
      <c r="AL5" s="2">
        <v>2.0</v>
      </c>
      <c r="AM5" s="2">
        <v>4.0</v>
      </c>
      <c r="AN5" s="2">
        <v>2.0</v>
      </c>
      <c r="AO5" s="2">
        <v>4.0</v>
      </c>
      <c r="AP5" s="2">
        <v>4.0</v>
      </c>
      <c r="AQ5" s="2">
        <v>1.0</v>
      </c>
      <c r="AR5" s="2">
        <v>2.0</v>
      </c>
      <c r="AS5" s="2">
        <v>2.0</v>
      </c>
      <c r="AT5" s="2">
        <v>2.0</v>
      </c>
      <c r="AU5" s="2">
        <v>2.0</v>
      </c>
      <c r="AV5" s="2">
        <v>5.0</v>
      </c>
      <c r="AW5" s="2">
        <v>2.0</v>
      </c>
      <c r="AX5" s="2">
        <v>2.0</v>
      </c>
      <c r="AY5" s="2">
        <v>1.0</v>
      </c>
      <c r="AZ5" s="2">
        <v>1.0</v>
      </c>
      <c r="BA5" s="2">
        <v>2.0</v>
      </c>
      <c r="BB5" s="2">
        <v>1.0</v>
      </c>
      <c r="BC5" s="2">
        <v>3.0</v>
      </c>
      <c r="BD5" s="2">
        <v>3.0</v>
      </c>
      <c r="BE5" s="2">
        <v>4.0</v>
      </c>
      <c r="BF5" s="2">
        <v>2.0</v>
      </c>
      <c r="BG5" s="2">
        <v>2.0</v>
      </c>
      <c r="BH5" s="2">
        <v>1.0</v>
      </c>
      <c r="BI5" s="2">
        <v>1.0</v>
      </c>
      <c r="BJ5" s="2">
        <v>1.0</v>
      </c>
      <c r="BK5" s="2">
        <v>2.0</v>
      </c>
      <c r="BL5" s="2">
        <v>1.0</v>
      </c>
      <c r="BM5" s="2">
        <v>2.0</v>
      </c>
      <c r="BN5" s="2">
        <v>5.0</v>
      </c>
      <c r="BO5" s="2">
        <v>1.0</v>
      </c>
      <c r="BP5" s="2">
        <v>2.0</v>
      </c>
      <c r="BQ5" s="2" t="s">
        <v>568</v>
      </c>
      <c r="BR5" s="2" t="s">
        <v>389</v>
      </c>
      <c r="BS5" s="2" t="s">
        <v>390</v>
      </c>
      <c r="BT5" s="2" t="s">
        <v>391</v>
      </c>
      <c r="BU5" s="2" t="s">
        <v>392</v>
      </c>
      <c r="BV5" s="2" t="s">
        <v>393</v>
      </c>
      <c r="BW5" s="2" t="s">
        <v>394</v>
      </c>
      <c r="BX5" s="2" t="s">
        <v>395</v>
      </c>
      <c r="BY5" s="2" t="s">
        <v>396</v>
      </c>
      <c r="BZ5" s="2" t="s">
        <v>573</v>
      </c>
      <c r="CA5" s="2" t="s">
        <v>33</v>
      </c>
      <c r="CB5" s="2" t="s">
        <v>33</v>
      </c>
      <c r="CC5" s="3" t="s">
        <v>578</v>
      </c>
      <c r="CD5" s="2" t="s">
        <v>33</v>
      </c>
      <c r="CE5" s="2" t="s">
        <v>33</v>
      </c>
      <c r="CF5" s="2" t="s">
        <v>33</v>
      </c>
      <c r="CG5" s="2" t="s">
        <v>33</v>
      </c>
      <c r="CH5" s="2" t="s">
        <v>33</v>
      </c>
      <c r="CI5" s="2" t="s">
        <v>33</v>
      </c>
      <c r="CJ5" s="2" t="s">
        <v>33</v>
      </c>
      <c r="CK5" s="2" t="s">
        <v>425</v>
      </c>
      <c r="CL5" s="2" t="s">
        <v>367</v>
      </c>
      <c r="CM5" s="2" t="s">
        <v>33</v>
      </c>
      <c r="CN5" s="2" t="s">
        <v>33</v>
      </c>
      <c r="CO5" s="2" t="s">
        <v>33</v>
      </c>
      <c r="CP5" s="2" t="s">
        <v>434</v>
      </c>
      <c r="CQ5" s="2" t="s">
        <v>369</v>
      </c>
      <c r="CR5" s="2" t="s">
        <v>442</v>
      </c>
      <c r="CS5" s="2" t="s">
        <v>434</v>
      </c>
      <c r="CT5" s="2" t="s">
        <v>368</v>
      </c>
      <c r="CU5" s="2" t="s">
        <v>372</v>
      </c>
    </row>
    <row r="6" ht="12.75" customHeight="1">
      <c r="A6" s="2">
        <v>5.0</v>
      </c>
      <c r="B6" s="2">
        <v>4.0</v>
      </c>
      <c r="C6" s="2" t="s">
        <v>358</v>
      </c>
      <c r="D6" s="2" t="s">
        <v>359</v>
      </c>
      <c r="E6" s="2" t="s">
        <v>360</v>
      </c>
      <c r="F6" s="2" t="s">
        <v>539</v>
      </c>
      <c r="G6" s="2" t="s">
        <v>539</v>
      </c>
      <c r="H6" s="2" t="s">
        <v>362</v>
      </c>
      <c r="I6" s="2" t="s">
        <v>598</v>
      </c>
      <c r="J6" s="2" t="s">
        <v>599</v>
      </c>
      <c r="K6" s="2" t="s">
        <v>366</v>
      </c>
      <c r="L6" s="2" t="s">
        <v>599</v>
      </c>
      <c r="M6" s="2" t="s">
        <v>368</v>
      </c>
      <c r="N6" s="2" t="s">
        <v>478</v>
      </c>
      <c r="O6" s="2" t="s">
        <v>370</v>
      </c>
      <c r="P6" s="2" t="s">
        <v>372</v>
      </c>
      <c r="Q6" s="2" t="s">
        <v>606</v>
      </c>
      <c r="R6" s="2" t="s">
        <v>608</v>
      </c>
      <c r="S6" s="2" t="s">
        <v>378</v>
      </c>
      <c r="T6" s="2" t="s">
        <v>378</v>
      </c>
      <c r="U6" s="2" t="s">
        <v>376</v>
      </c>
      <c r="V6" s="2" t="s">
        <v>376</v>
      </c>
      <c r="W6" s="2" t="s">
        <v>444</v>
      </c>
      <c r="X6" s="2" t="s">
        <v>444</v>
      </c>
      <c r="Y6" s="2" t="s">
        <v>378</v>
      </c>
      <c r="Z6" s="2" t="s">
        <v>444</v>
      </c>
      <c r="AA6" s="2" t="s">
        <v>447</v>
      </c>
      <c r="AB6" s="2" t="s">
        <v>359</v>
      </c>
      <c r="AC6" s="2" t="s">
        <v>552</v>
      </c>
      <c r="AD6" s="2" t="s">
        <v>452</v>
      </c>
      <c r="AE6" s="2" t="s">
        <v>387</v>
      </c>
      <c r="AF6" s="2" t="s">
        <v>388</v>
      </c>
      <c r="AG6" s="2" t="s">
        <v>454</v>
      </c>
      <c r="AH6" s="2" t="s">
        <v>33</v>
      </c>
      <c r="AI6" s="2" t="s">
        <v>33</v>
      </c>
      <c r="AJ6" s="2" t="s">
        <v>33</v>
      </c>
      <c r="AK6" s="2" t="s">
        <v>33</v>
      </c>
      <c r="AL6" s="2">
        <v>1.0</v>
      </c>
      <c r="AM6" s="2">
        <v>5.0</v>
      </c>
      <c r="AN6" s="2">
        <v>2.0</v>
      </c>
      <c r="AO6" s="2">
        <v>4.0</v>
      </c>
      <c r="AP6" s="2">
        <v>4.0</v>
      </c>
      <c r="AQ6" s="2">
        <v>1.0</v>
      </c>
      <c r="AR6" s="2">
        <v>3.0</v>
      </c>
      <c r="AS6" s="2">
        <v>4.0</v>
      </c>
      <c r="AT6" s="2">
        <v>3.0</v>
      </c>
      <c r="AU6" s="2">
        <v>3.0</v>
      </c>
      <c r="AV6" s="2">
        <v>4.0</v>
      </c>
      <c r="AW6" s="2">
        <v>4.0</v>
      </c>
      <c r="AX6" s="2">
        <v>3.0</v>
      </c>
      <c r="AY6" s="2">
        <v>3.0</v>
      </c>
      <c r="AZ6" s="2">
        <v>3.0</v>
      </c>
      <c r="BA6" s="2">
        <v>5.0</v>
      </c>
      <c r="BB6" s="2">
        <v>2.0</v>
      </c>
      <c r="BC6" s="2">
        <v>2.0</v>
      </c>
      <c r="BD6" s="2">
        <v>3.0</v>
      </c>
      <c r="BE6" s="2">
        <v>4.0</v>
      </c>
      <c r="BF6" s="2">
        <v>1.0</v>
      </c>
      <c r="BG6" s="2">
        <v>1.0</v>
      </c>
      <c r="BH6" s="2">
        <v>1.0</v>
      </c>
      <c r="BI6" s="2">
        <v>1.0</v>
      </c>
      <c r="BJ6" s="2">
        <v>1.0</v>
      </c>
      <c r="BK6" s="2">
        <v>1.0</v>
      </c>
      <c r="BL6" s="2">
        <v>1.0</v>
      </c>
      <c r="BM6" s="2">
        <v>1.0</v>
      </c>
      <c r="BN6" s="2">
        <v>5.0</v>
      </c>
      <c r="BO6" s="2">
        <v>1.0</v>
      </c>
      <c r="BP6" s="2">
        <v>1.0</v>
      </c>
      <c r="BQ6" s="2" t="s">
        <v>568</v>
      </c>
      <c r="BR6" s="2" t="s">
        <v>389</v>
      </c>
      <c r="BS6" s="2" t="s">
        <v>390</v>
      </c>
      <c r="BT6" s="2" t="s">
        <v>391</v>
      </c>
      <c r="BU6" s="2" t="s">
        <v>393</v>
      </c>
      <c r="BV6" s="2" t="s">
        <v>394</v>
      </c>
      <c r="BW6" s="2" t="s">
        <v>395</v>
      </c>
      <c r="BX6" s="2" t="s">
        <v>396</v>
      </c>
      <c r="BY6" s="2" t="s">
        <v>573</v>
      </c>
      <c r="BZ6" s="2" t="s">
        <v>33</v>
      </c>
      <c r="CA6" s="2" t="s">
        <v>33</v>
      </c>
      <c r="CB6" s="2" t="s">
        <v>33</v>
      </c>
      <c r="CC6" s="3" t="s">
        <v>633</v>
      </c>
      <c r="CD6" s="2" t="s">
        <v>33</v>
      </c>
      <c r="CE6" s="2" t="s">
        <v>33</v>
      </c>
      <c r="CF6" s="2" t="s">
        <v>33</v>
      </c>
      <c r="CG6" s="2" t="s">
        <v>33</v>
      </c>
      <c r="CH6" s="2" t="s">
        <v>33</v>
      </c>
      <c r="CI6" s="2" t="s">
        <v>33</v>
      </c>
      <c r="CJ6" s="2" t="s">
        <v>33</v>
      </c>
      <c r="CK6" s="2" t="s">
        <v>598</v>
      </c>
      <c r="CL6" s="2" t="s">
        <v>466</v>
      </c>
      <c r="CM6" s="2" t="s">
        <v>33</v>
      </c>
      <c r="CN6" s="2" t="s">
        <v>33</v>
      </c>
      <c r="CO6" s="2" t="s">
        <v>33</v>
      </c>
      <c r="CP6" s="2" t="s">
        <v>434</v>
      </c>
      <c r="CQ6" s="2" t="s">
        <v>478</v>
      </c>
      <c r="CR6" s="2" t="s">
        <v>370</v>
      </c>
      <c r="CS6" s="2" t="s">
        <v>434</v>
      </c>
      <c r="CT6" s="2" t="s">
        <v>368</v>
      </c>
      <c r="CU6" s="2" t="s">
        <v>372</v>
      </c>
    </row>
    <row r="7" ht="12.75" customHeight="1">
      <c r="A7" s="2">
        <v>6.0</v>
      </c>
      <c r="B7" s="2">
        <v>3.0</v>
      </c>
      <c r="C7" s="2" t="s">
        <v>358</v>
      </c>
      <c r="D7" s="2" t="s">
        <v>639</v>
      </c>
      <c r="E7" s="2" t="s">
        <v>360</v>
      </c>
      <c r="F7" s="2" t="s">
        <v>640</v>
      </c>
      <c r="G7" s="2" t="s">
        <v>642</v>
      </c>
      <c r="H7" s="2" t="s">
        <v>362</v>
      </c>
      <c r="I7" s="2" t="s">
        <v>363</v>
      </c>
      <c r="J7" s="2" t="s">
        <v>365</v>
      </c>
      <c r="K7" s="2" t="s">
        <v>366</v>
      </c>
      <c r="L7" s="2" t="s">
        <v>367</v>
      </c>
      <c r="M7" s="2" t="s">
        <v>645</v>
      </c>
      <c r="N7" s="2" t="s">
        <v>441</v>
      </c>
      <c r="O7" s="2" t="s">
        <v>370</v>
      </c>
      <c r="P7" s="2" t="s">
        <v>372</v>
      </c>
      <c r="Q7" s="2" t="s">
        <v>606</v>
      </c>
      <c r="R7" s="2" t="s">
        <v>648</v>
      </c>
      <c r="S7" s="2" t="s">
        <v>378</v>
      </c>
      <c r="T7" s="2" t="s">
        <v>378</v>
      </c>
      <c r="U7" s="2" t="s">
        <v>376</v>
      </c>
      <c r="V7" s="2" t="s">
        <v>376</v>
      </c>
      <c r="W7" s="2" t="s">
        <v>444</v>
      </c>
      <c r="X7" s="2" t="s">
        <v>378</v>
      </c>
      <c r="Y7" s="2" t="s">
        <v>378</v>
      </c>
      <c r="Z7" s="2" t="s">
        <v>378</v>
      </c>
      <c r="AA7" s="2" t="s">
        <v>447</v>
      </c>
      <c r="AB7" s="2" t="s">
        <v>651</v>
      </c>
      <c r="AC7" s="2" t="s">
        <v>653</v>
      </c>
      <c r="AD7" s="2" t="s">
        <v>33</v>
      </c>
      <c r="AE7" s="2" t="s">
        <v>33</v>
      </c>
      <c r="AF7" s="2" t="s">
        <v>33</v>
      </c>
      <c r="AG7" s="2" t="s">
        <v>33</v>
      </c>
      <c r="AH7" s="2" t="s">
        <v>33</v>
      </c>
      <c r="AI7" s="2" t="s">
        <v>33</v>
      </c>
      <c r="AJ7" s="2" t="s">
        <v>33</v>
      </c>
      <c r="AK7" s="2" t="s">
        <v>33</v>
      </c>
      <c r="AL7" s="2">
        <v>4.0</v>
      </c>
      <c r="AM7" s="2">
        <v>5.0</v>
      </c>
      <c r="AN7" s="2">
        <v>2.0</v>
      </c>
      <c r="AO7" s="2">
        <v>3.0</v>
      </c>
      <c r="AP7" s="2">
        <v>2.0</v>
      </c>
      <c r="AQ7" s="2">
        <v>1.0</v>
      </c>
      <c r="AR7" s="2">
        <v>3.0</v>
      </c>
      <c r="AS7" s="2">
        <v>4.0</v>
      </c>
      <c r="AT7" s="2">
        <v>3.0</v>
      </c>
      <c r="AU7" s="2">
        <v>4.0</v>
      </c>
      <c r="AV7" s="2">
        <v>5.0</v>
      </c>
      <c r="AW7" s="2">
        <v>4.0</v>
      </c>
      <c r="AX7" s="2">
        <v>3.0</v>
      </c>
      <c r="AY7" s="2">
        <v>3.0</v>
      </c>
      <c r="AZ7" s="2">
        <v>1.0</v>
      </c>
      <c r="BA7" s="2">
        <v>4.0</v>
      </c>
      <c r="BB7" s="2">
        <v>1.0</v>
      </c>
      <c r="BC7" s="2">
        <v>1.0</v>
      </c>
      <c r="BD7" s="2">
        <v>1.0</v>
      </c>
      <c r="BE7" s="2">
        <v>5.0</v>
      </c>
      <c r="BF7" s="2">
        <v>1.0</v>
      </c>
      <c r="BG7" s="2">
        <v>1.0</v>
      </c>
      <c r="BH7" s="2">
        <v>1.0</v>
      </c>
      <c r="BI7" s="2">
        <v>1.0</v>
      </c>
      <c r="BJ7" s="2">
        <v>1.0</v>
      </c>
      <c r="BK7" s="2">
        <v>1.0</v>
      </c>
      <c r="BL7" s="2">
        <v>2.0</v>
      </c>
      <c r="BM7" s="2">
        <v>1.0</v>
      </c>
      <c r="BN7" s="2">
        <v>5.0</v>
      </c>
      <c r="BO7" s="2">
        <v>1.0</v>
      </c>
      <c r="BP7" s="2">
        <v>1.0</v>
      </c>
      <c r="BQ7" s="2" t="s">
        <v>568</v>
      </c>
      <c r="BR7" s="2" t="s">
        <v>389</v>
      </c>
      <c r="BS7" s="2" t="s">
        <v>390</v>
      </c>
      <c r="BT7" s="2" t="s">
        <v>391</v>
      </c>
      <c r="BU7" s="2" t="s">
        <v>393</v>
      </c>
      <c r="BV7" s="2" t="s">
        <v>395</v>
      </c>
      <c r="BW7" s="2" t="s">
        <v>396</v>
      </c>
      <c r="BX7" s="2" t="s">
        <v>33</v>
      </c>
      <c r="BY7" s="2" t="s">
        <v>33</v>
      </c>
      <c r="BZ7" s="2" t="s">
        <v>33</v>
      </c>
      <c r="CA7" s="2" t="s">
        <v>33</v>
      </c>
      <c r="CB7" s="2" t="s">
        <v>33</v>
      </c>
      <c r="CC7" s="2" t="s">
        <v>677</v>
      </c>
      <c r="CD7" s="2" t="s">
        <v>33</v>
      </c>
      <c r="CE7" s="2" t="s">
        <v>33</v>
      </c>
      <c r="CF7" s="2" t="s">
        <v>33</v>
      </c>
      <c r="CG7" s="2" t="s">
        <v>33</v>
      </c>
      <c r="CH7" s="2" t="s">
        <v>33</v>
      </c>
      <c r="CI7" s="2" t="s">
        <v>33</v>
      </c>
      <c r="CJ7" s="2" t="s">
        <v>33</v>
      </c>
      <c r="CK7" s="2" t="s">
        <v>425</v>
      </c>
      <c r="CL7" s="2" t="s">
        <v>367</v>
      </c>
      <c r="CM7" s="4">
        <v>45294.0</v>
      </c>
      <c r="CN7" s="4">
        <v>45298.0</v>
      </c>
      <c r="CO7" s="2">
        <v>5.0</v>
      </c>
      <c r="CP7" s="2" t="s">
        <v>434</v>
      </c>
      <c r="CQ7" s="2" t="s">
        <v>441</v>
      </c>
      <c r="CR7" s="2" t="s">
        <v>370</v>
      </c>
      <c r="CS7" s="2" t="s">
        <v>434</v>
      </c>
      <c r="CT7" s="2" t="s">
        <v>645</v>
      </c>
      <c r="CU7" s="2" t="s">
        <v>372</v>
      </c>
    </row>
    <row r="8" ht="12.75" customHeight="1">
      <c r="A8" s="2">
        <v>7.0</v>
      </c>
      <c r="B8" s="2">
        <v>2.0</v>
      </c>
      <c r="C8" s="2" t="s">
        <v>358</v>
      </c>
      <c r="D8" s="2" t="s">
        <v>639</v>
      </c>
      <c r="E8" s="2" t="s">
        <v>473</v>
      </c>
      <c r="F8" s="2" t="s">
        <v>361</v>
      </c>
      <c r="G8" s="2" t="s">
        <v>361</v>
      </c>
      <c r="H8" s="2" t="s">
        <v>540</v>
      </c>
      <c r="I8" s="2" t="s">
        <v>363</v>
      </c>
      <c r="J8" s="2" t="s">
        <v>365</v>
      </c>
      <c r="K8" s="2" t="s">
        <v>366</v>
      </c>
      <c r="L8" s="2" t="s">
        <v>367</v>
      </c>
      <c r="M8" s="2" t="s">
        <v>368</v>
      </c>
      <c r="N8" s="2" t="s">
        <v>369</v>
      </c>
      <c r="O8" s="2" t="s">
        <v>370</v>
      </c>
      <c r="P8" s="2" t="s">
        <v>372</v>
      </c>
      <c r="Q8" s="2" t="s">
        <v>361</v>
      </c>
      <c r="R8" s="2" t="s">
        <v>361</v>
      </c>
      <c r="S8" s="2" t="s">
        <v>376</v>
      </c>
      <c r="T8" s="2" t="s">
        <v>376</v>
      </c>
      <c r="U8" s="2" t="s">
        <v>376</v>
      </c>
      <c r="V8" s="2" t="s">
        <v>376</v>
      </c>
      <c r="W8" s="2" t="s">
        <v>378</v>
      </c>
      <c r="X8" s="2" t="s">
        <v>378</v>
      </c>
      <c r="Y8" s="2" t="s">
        <v>376</v>
      </c>
      <c r="Z8" s="2" t="s">
        <v>378</v>
      </c>
      <c r="AA8" s="2" t="s">
        <v>447</v>
      </c>
      <c r="AB8" s="2" t="s">
        <v>359</v>
      </c>
      <c r="AC8" s="2" t="s">
        <v>653</v>
      </c>
      <c r="AD8" s="2" t="s">
        <v>33</v>
      </c>
      <c r="AE8" s="2" t="s">
        <v>33</v>
      </c>
      <c r="AF8" s="2" t="s">
        <v>33</v>
      </c>
      <c r="AG8" s="2" t="s">
        <v>33</v>
      </c>
      <c r="AH8" s="2" t="s">
        <v>33</v>
      </c>
      <c r="AI8" s="2" t="s">
        <v>33</v>
      </c>
      <c r="AJ8" s="2" t="s">
        <v>33</v>
      </c>
      <c r="AK8" s="2" t="s">
        <v>33</v>
      </c>
      <c r="AL8" s="2">
        <v>2.0</v>
      </c>
      <c r="AM8" s="2">
        <v>4.0</v>
      </c>
      <c r="AN8" s="2">
        <v>3.0</v>
      </c>
      <c r="AO8" s="2">
        <v>1.0</v>
      </c>
      <c r="AP8" s="2">
        <v>2.0</v>
      </c>
      <c r="AQ8" s="2">
        <v>2.0</v>
      </c>
      <c r="AR8" s="2">
        <v>2.0</v>
      </c>
      <c r="AS8" s="2">
        <v>2.0</v>
      </c>
      <c r="AT8" s="2">
        <v>1.0</v>
      </c>
      <c r="AU8" s="2">
        <v>1.0</v>
      </c>
      <c r="AV8" s="2">
        <v>4.0</v>
      </c>
      <c r="AW8" s="2">
        <v>3.0</v>
      </c>
      <c r="AX8" s="2">
        <v>1.0</v>
      </c>
      <c r="AY8" s="2">
        <v>2.0</v>
      </c>
      <c r="AZ8" s="2">
        <v>1.0</v>
      </c>
      <c r="BA8" s="2">
        <v>1.0</v>
      </c>
      <c r="BB8" s="2">
        <v>1.0</v>
      </c>
      <c r="BC8" s="2">
        <v>1.0</v>
      </c>
      <c r="BD8" s="2">
        <v>1.0</v>
      </c>
      <c r="BE8" s="2">
        <v>4.0</v>
      </c>
      <c r="BF8" s="2">
        <v>2.0</v>
      </c>
      <c r="BG8" s="2">
        <v>2.0</v>
      </c>
      <c r="BH8" s="2">
        <v>1.0</v>
      </c>
      <c r="BI8" s="2">
        <v>1.0</v>
      </c>
      <c r="BJ8" s="2">
        <v>1.0</v>
      </c>
      <c r="BK8" s="2">
        <v>1.0</v>
      </c>
      <c r="BL8" s="2">
        <v>1.0</v>
      </c>
      <c r="BM8" s="2">
        <v>1.0</v>
      </c>
      <c r="BN8" s="2">
        <v>4.0</v>
      </c>
      <c r="BO8" s="2">
        <v>1.0</v>
      </c>
      <c r="BP8" s="2">
        <v>1.0</v>
      </c>
      <c r="BQ8" s="2" t="s">
        <v>568</v>
      </c>
      <c r="BR8" s="2" t="s">
        <v>389</v>
      </c>
      <c r="BS8" s="2" t="s">
        <v>390</v>
      </c>
      <c r="BT8" s="2" t="s">
        <v>391</v>
      </c>
      <c r="BU8" s="2" t="s">
        <v>392</v>
      </c>
      <c r="BV8" s="2" t="s">
        <v>393</v>
      </c>
      <c r="BW8" s="2" t="s">
        <v>394</v>
      </c>
      <c r="BX8" s="2" t="s">
        <v>395</v>
      </c>
      <c r="BY8" s="2" t="s">
        <v>519</v>
      </c>
      <c r="BZ8" s="2" t="s">
        <v>396</v>
      </c>
      <c r="CA8" s="2" t="s">
        <v>573</v>
      </c>
      <c r="CB8" s="2" t="s">
        <v>730</v>
      </c>
      <c r="CC8" s="2" t="s">
        <v>733</v>
      </c>
      <c r="CD8" s="2" t="s">
        <v>33</v>
      </c>
      <c r="CE8" s="2" t="s">
        <v>33</v>
      </c>
      <c r="CF8" s="2" t="s">
        <v>33</v>
      </c>
      <c r="CG8" s="2" t="s">
        <v>33</v>
      </c>
      <c r="CH8" s="2" t="s">
        <v>33</v>
      </c>
      <c r="CI8" s="2" t="s">
        <v>33</v>
      </c>
      <c r="CJ8" s="2" t="s">
        <v>33</v>
      </c>
      <c r="CK8" s="2" t="s">
        <v>425</v>
      </c>
      <c r="CL8" s="2" t="s">
        <v>367</v>
      </c>
      <c r="CM8" s="4">
        <v>45305.0</v>
      </c>
      <c r="CN8" s="4">
        <v>45309.0</v>
      </c>
      <c r="CO8" s="2">
        <v>5.0</v>
      </c>
      <c r="CP8" s="2" t="s">
        <v>434</v>
      </c>
      <c r="CQ8" s="2" t="s">
        <v>369</v>
      </c>
      <c r="CR8" s="2" t="s">
        <v>370</v>
      </c>
      <c r="CS8" s="2" t="s">
        <v>434</v>
      </c>
      <c r="CT8" s="2" t="s">
        <v>368</v>
      </c>
      <c r="CU8" s="2" t="s">
        <v>372</v>
      </c>
    </row>
    <row r="9" ht="12.75" customHeight="1">
      <c r="A9" s="2">
        <v>8.0</v>
      </c>
      <c r="B9" s="2">
        <v>4.0</v>
      </c>
      <c r="C9" s="2" t="s">
        <v>358</v>
      </c>
      <c r="D9" s="2" t="s">
        <v>359</v>
      </c>
      <c r="E9" s="2" t="s">
        <v>473</v>
      </c>
      <c r="F9" s="2" t="s">
        <v>437</v>
      </c>
      <c r="G9" s="2" t="s">
        <v>437</v>
      </c>
      <c r="H9" s="2" t="s">
        <v>362</v>
      </c>
      <c r="I9" s="2" t="s">
        <v>757</v>
      </c>
      <c r="J9" s="2" t="s">
        <v>599</v>
      </c>
      <c r="K9" s="2" t="s">
        <v>366</v>
      </c>
      <c r="L9" s="2" t="s">
        <v>599</v>
      </c>
      <c r="M9" s="2" t="s">
        <v>368</v>
      </c>
      <c r="N9" s="2" t="s">
        <v>441</v>
      </c>
      <c r="O9" s="2" t="s">
        <v>442</v>
      </c>
      <c r="P9" s="2" t="s">
        <v>762</v>
      </c>
      <c r="Q9" s="2" t="s">
        <v>480</v>
      </c>
      <c r="R9" s="2" t="s">
        <v>480</v>
      </c>
      <c r="S9" s="2" t="s">
        <v>378</v>
      </c>
      <c r="T9" s="2" t="s">
        <v>378</v>
      </c>
      <c r="U9" s="2" t="s">
        <v>378</v>
      </c>
      <c r="V9" s="2" t="s">
        <v>378</v>
      </c>
      <c r="W9" s="2" t="s">
        <v>444</v>
      </c>
      <c r="X9" s="2" t="s">
        <v>444</v>
      </c>
      <c r="Y9" s="2" t="s">
        <v>444</v>
      </c>
      <c r="Z9" s="2" t="s">
        <v>444</v>
      </c>
      <c r="AA9" s="2" t="s">
        <v>382</v>
      </c>
      <c r="AB9" s="2" t="s">
        <v>490</v>
      </c>
      <c r="AC9" s="2" t="s">
        <v>552</v>
      </c>
      <c r="AD9" s="2" t="s">
        <v>452</v>
      </c>
      <c r="AE9" s="2" t="s">
        <v>387</v>
      </c>
      <c r="AF9" s="2" t="s">
        <v>388</v>
      </c>
      <c r="AG9" s="2" t="s">
        <v>782</v>
      </c>
      <c r="AH9" s="2" t="s">
        <v>455</v>
      </c>
      <c r="AI9" s="2" t="s">
        <v>33</v>
      </c>
      <c r="AJ9" s="2" t="s">
        <v>33</v>
      </c>
      <c r="AK9" s="2" t="s">
        <v>33</v>
      </c>
      <c r="AL9" s="2">
        <v>3.0</v>
      </c>
      <c r="AM9" s="2">
        <v>4.0</v>
      </c>
      <c r="AN9" s="2">
        <v>2.0</v>
      </c>
      <c r="AO9" s="2">
        <v>4.0</v>
      </c>
      <c r="AP9" s="2">
        <v>4.0</v>
      </c>
      <c r="AQ9" s="2">
        <v>1.0</v>
      </c>
      <c r="AR9" s="2">
        <v>5.0</v>
      </c>
      <c r="AS9" s="2">
        <v>4.0</v>
      </c>
      <c r="AT9" s="2">
        <v>4.0</v>
      </c>
      <c r="AU9" s="2">
        <v>1.0</v>
      </c>
      <c r="AV9" s="2">
        <v>1.0</v>
      </c>
      <c r="AW9" s="2">
        <v>1.0</v>
      </c>
      <c r="AX9" s="2">
        <v>1.0</v>
      </c>
      <c r="AY9" s="2">
        <v>1.0</v>
      </c>
      <c r="AZ9" s="2">
        <v>1.0</v>
      </c>
      <c r="BA9" s="2">
        <v>4.0</v>
      </c>
      <c r="BB9" s="2">
        <v>1.0</v>
      </c>
      <c r="BC9" s="2">
        <v>1.0</v>
      </c>
      <c r="BD9" s="2">
        <v>1.0</v>
      </c>
      <c r="BE9" s="2">
        <v>4.0</v>
      </c>
      <c r="BF9" s="2">
        <v>2.0</v>
      </c>
      <c r="BG9" s="2">
        <v>2.0</v>
      </c>
      <c r="BH9" s="2">
        <v>1.0</v>
      </c>
      <c r="BI9" s="2">
        <v>1.0</v>
      </c>
      <c r="BJ9" s="2">
        <v>1.0</v>
      </c>
      <c r="BK9" s="2">
        <v>2.0</v>
      </c>
      <c r="BL9" s="2">
        <v>2.0</v>
      </c>
      <c r="BM9" s="2">
        <v>1.0</v>
      </c>
      <c r="BN9" s="2">
        <v>2.0</v>
      </c>
      <c r="BO9" s="2">
        <v>1.0</v>
      </c>
      <c r="BP9" s="2">
        <v>3.0</v>
      </c>
      <c r="BQ9" s="2" t="s">
        <v>389</v>
      </c>
      <c r="BR9" s="2" t="s">
        <v>390</v>
      </c>
      <c r="BS9" s="2" t="s">
        <v>392</v>
      </c>
      <c r="BT9" s="2" t="s">
        <v>393</v>
      </c>
      <c r="BU9" s="2" t="s">
        <v>394</v>
      </c>
      <c r="BV9" s="2" t="s">
        <v>396</v>
      </c>
      <c r="BW9" s="2" t="s">
        <v>33</v>
      </c>
      <c r="BX9" s="2" t="s">
        <v>33</v>
      </c>
      <c r="BY9" s="2" t="s">
        <v>33</v>
      </c>
      <c r="BZ9" s="2" t="s">
        <v>33</v>
      </c>
      <c r="CA9" s="2" t="s">
        <v>33</v>
      </c>
      <c r="CB9" s="2" t="s">
        <v>33</v>
      </c>
      <c r="CC9" s="2" t="s">
        <v>793</v>
      </c>
      <c r="CD9" s="2">
        <v>6.0</v>
      </c>
      <c r="CE9" s="2" t="s">
        <v>794</v>
      </c>
      <c r="CF9" s="2" t="s">
        <v>33</v>
      </c>
      <c r="CG9" s="2" t="s">
        <v>33</v>
      </c>
      <c r="CH9" s="2" t="s">
        <v>33</v>
      </c>
      <c r="CI9" s="2" t="s">
        <v>33</v>
      </c>
      <c r="CJ9" s="2" t="s">
        <v>33</v>
      </c>
      <c r="CK9" s="2" t="s">
        <v>757</v>
      </c>
      <c r="CL9" s="2" t="s">
        <v>466</v>
      </c>
      <c r="CM9" s="4">
        <v>45305.0</v>
      </c>
      <c r="CN9" s="4">
        <v>45311.0</v>
      </c>
      <c r="CO9" s="2">
        <v>7.0</v>
      </c>
      <c r="CP9" s="2" t="s">
        <v>529</v>
      </c>
      <c r="CQ9" s="2" t="s">
        <v>441</v>
      </c>
      <c r="CR9" s="2" t="s">
        <v>442</v>
      </c>
      <c r="CS9" s="2" t="s">
        <v>529</v>
      </c>
      <c r="CT9" s="2" t="s">
        <v>368</v>
      </c>
      <c r="CU9" s="2" t="s">
        <v>762</v>
      </c>
    </row>
    <row r="10" ht="12.75" customHeight="1">
      <c r="A10" s="2">
        <v>9.0</v>
      </c>
      <c r="B10" s="2">
        <v>3.0</v>
      </c>
      <c r="C10" s="2" t="s">
        <v>358</v>
      </c>
      <c r="D10" s="2" t="s">
        <v>359</v>
      </c>
      <c r="E10" s="2" t="s">
        <v>801</v>
      </c>
      <c r="F10" s="2" t="s">
        <v>539</v>
      </c>
      <c r="G10" s="2" t="s">
        <v>539</v>
      </c>
      <c r="H10" s="2" t="s">
        <v>540</v>
      </c>
      <c r="I10" s="2" t="s">
        <v>363</v>
      </c>
      <c r="J10" s="2" t="s">
        <v>365</v>
      </c>
      <c r="K10" s="2" t="s">
        <v>366</v>
      </c>
      <c r="L10" s="2" t="s">
        <v>367</v>
      </c>
      <c r="M10" s="2" t="s">
        <v>645</v>
      </c>
      <c r="N10" s="2" t="s">
        <v>802</v>
      </c>
      <c r="O10" s="2" t="s">
        <v>479</v>
      </c>
      <c r="P10" s="2" t="s">
        <v>762</v>
      </c>
      <c r="Q10" s="2" t="s">
        <v>480</v>
      </c>
      <c r="R10" s="2" t="s">
        <v>480</v>
      </c>
      <c r="S10" s="2" t="s">
        <v>378</v>
      </c>
      <c r="T10" s="2" t="s">
        <v>376</v>
      </c>
      <c r="U10" s="2" t="s">
        <v>378</v>
      </c>
      <c r="V10" s="2" t="s">
        <v>378</v>
      </c>
      <c r="W10" s="2" t="s">
        <v>444</v>
      </c>
      <c r="X10" s="2" t="s">
        <v>444</v>
      </c>
      <c r="Y10" s="2" t="s">
        <v>444</v>
      </c>
      <c r="Z10" s="2" t="s">
        <v>444</v>
      </c>
      <c r="AA10" s="2" t="s">
        <v>382</v>
      </c>
      <c r="AB10" s="2" t="s">
        <v>551</v>
      </c>
      <c r="AC10" s="2" t="s">
        <v>806</v>
      </c>
      <c r="AD10" s="2" t="s">
        <v>33</v>
      </c>
      <c r="AE10" s="2" t="s">
        <v>33</v>
      </c>
      <c r="AF10" s="2" t="s">
        <v>33</v>
      </c>
      <c r="AG10" s="2" t="s">
        <v>33</v>
      </c>
      <c r="AH10" s="2" t="s">
        <v>33</v>
      </c>
      <c r="AI10" s="2" t="s">
        <v>33</v>
      </c>
      <c r="AJ10" s="2" t="s">
        <v>33</v>
      </c>
      <c r="AK10" s="2" t="s">
        <v>33</v>
      </c>
      <c r="AL10" s="2">
        <v>1.0</v>
      </c>
      <c r="AM10" s="2">
        <v>5.0</v>
      </c>
      <c r="AN10" s="2">
        <v>1.0</v>
      </c>
      <c r="AO10" s="2">
        <v>5.0</v>
      </c>
      <c r="AP10" s="2">
        <v>3.0</v>
      </c>
      <c r="AQ10" s="2">
        <v>1.0</v>
      </c>
      <c r="AR10" s="2">
        <v>4.0</v>
      </c>
      <c r="AS10" s="2">
        <v>3.0</v>
      </c>
      <c r="AT10" s="2">
        <v>1.0</v>
      </c>
      <c r="AU10" s="2">
        <v>1.0</v>
      </c>
      <c r="AV10" s="2">
        <v>1.0</v>
      </c>
      <c r="AW10" s="2">
        <v>1.0</v>
      </c>
      <c r="AX10" s="2">
        <v>1.0</v>
      </c>
      <c r="AY10" s="2">
        <v>1.0</v>
      </c>
      <c r="AZ10" s="2">
        <v>1.0</v>
      </c>
      <c r="BA10" s="2">
        <v>1.0</v>
      </c>
      <c r="BB10" s="2">
        <v>1.0</v>
      </c>
      <c r="BC10" s="2">
        <v>1.0</v>
      </c>
      <c r="BD10" s="2">
        <v>1.0</v>
      </c>
      <c r="BE10" s="2">
        <v>5.0</v>
      </c>
      <c r="BF10" s="2">
        <v>1.0</v>
      </c>
      <c r="BG10" s="2">
        <v>1.0</v>
      </c>
      <c r="BH10" s="2">
        <v>1.0</v>
      </c>
      <c r="BI10" s="2">
        <v>1.0</v>
      </c>
      <c r="BJ10" s="2">
        <v>1.0</v>
      </c>
      <c r="BK10" s="2">
        <v>1.0</v>
      </c>
      <c r="BL10" s="2">
        <v>1.0</v>
      </c>
      <c r="BM10" s="2">
        <v>1.0</v>
      </c>
      <c r="BN10" s="2">
        <v>5.0</v>
      </c>
      <c r="BO10" s="2">
        <v>1.0</v>
      </c>
      <c r="BP10" s="2">
        <v>1.0</v>
      </c>
      <c r="BQ10" s="2" t="s">
        <v>390</v>
      </c>
      <c r="BR10" s="2" t="s">
        <v>392</v>
      </c>
      <c r="BS10" s="2" t="s">
        <v>393</v>
      </c>
      <c r="BT10" s="2" t="s">
        <v>395</v>
      </c>
      <c r="BU10" s="2" t="s">
        <v>396</v>
      </c>
      <c r="BV10" s="2" t="s">
        <v>573</v>
      </c>
      <c r="BW10" s="2" t="s">
        <v>33</v>
      </c>
      <c r="BX10" s="2" t="s">
        <v>33</v>
      </c>
      <c r="BY10" s="2" t="s">
        <v>33</v>
      </c>
      <c r="BZ10" s="2" t="s">
        <v>33</v>
      </c>
      <c r="CA10" s="2" t="s">
        <v>33</v>
      </c>
      <c r="CB10" s="2" t="s">
        <v>33</v>
      </c>
      <c r="CC10" s="2" t="s">
        <v>843</v>
      </c>
      <c r="CD10" s="2">
        <v>5.0</v>
      </c>
      <c r="CE10" s="2" t="s">
        <v>794</v>
      </c>
      <c r="CF10" s="2" t="s">
        <v>33</v>
      </c>
      <c r="CG10" s="2" t="s">
        <v>33</v>
      </c>
      <c r="CH10" s="2" t="s">
        <v>33</v>
      </c>
      <c r="CI10" s="2" t="s">
        <v>33</v>
      </c>
      <c r="CJ10" s="2" t="s">
        <v>33</v>
      </c>
      <c r="CK10" s="2" t="s">
        <v>425</v>
      </c>
      <c r="CL10" s="2" t="s">
        <v>367</v>
      </c>
      <c r="CM10" s="4">
        <v>45323.0</v>
      </c>
      <c r="CN10" s="4">
        <v>45327.0</v>
      </c>
      <c r="CO10" s="2">
        <v>5.0</v>
      </c>
      <c r="CP10" s="2" t="s">
        <v>529</v>
      </c>
      <c r="CQ10" s="2" t="s">
        <v>802</v>
      </c>
      <c r="CR10" s="2" t="s">
        <v>479</v>
      </c>
      <c r="CS10" s="2" t="s">
        <v>529</v>
      </c>
      <c r="CT10" s="2" t="s">
        <v>645</v>
      </c>
      <c r="CU10" s="2" t="s">
        <v>762</v>
      </c>
    </row>
    <row r="11" ht="12.75" customHeight="1">
      <c r="A11" s="2">
        <v>10.0</v>
      </c>
      <c r="B11" s="2">
        <v>2.0</v>
      </c>
      <c r="C11" s="2" t="s">
        <v>358</v>
      </c>
      <c r="D11" s="2" t="s">
        <v>359</v>
      </c>
      <c r="E11" s="2" t="s">
        <v>360</v>
      </c>
      <c r="F11" s="2" t="s">
        <v>437</v>
      </c>
      <c r="G11" s="2" t="s">
        <v>437</v>
      </c>
      <c r="H11" s="2" t="s">
        <v>540</v>
      </c>
      <c r="I11" s="2" t="s">
        <v>859</v>
      </c>
      <c r="J11" s="2" t="s">
        <v>599</v>
      </c>
      <c r="K11" s="2" t="s">
        <v>366</v>
      </c>
      <c r="L11" s="2" t="s">
        <v>599</v>
      </c>
      <c r="M11" s="2" t="s">
        <v>645</v>
      </c>
      <c r="N11" s="2" t="s">
        <v>369</v>
      </c>
      <c r="O11" s="2" t="s">
        <v>442</v>
      </c>
      <c r="P11" s="2" t="s">
        <v>860</v>
      </c>
      <c r="Q11" s="2" t="s">
        <v>480</v>
      </c>
      <c r="R11" s="2" t="s">
        <v>480</v>
      </c>
      <c r="S11" s="2" t="s">
        <v>378</v>
      </c>
      <c r="T11" s="2" t="s">
        <v>378</v>
      </c>
      <c r="U11" s="2" t="s">
        <v>444</v>
      </c>
      <c r="V11" s="2" t="s">
        <v>378</v>
      </c>
      <c r="W11" s="2" t="s">
        <v>444</v>
      </c>
      <c r="X11" s="2" t="s">
        <v>378</v>
      </c>
      <c r="Y11" s="2" t="s">
        <v>444</v>
      </c>
      <c r="Z11" s="2" t="s">
        <v>378</v>
      </c>
      <c r="AA11" s="2" t="s">
        <v>864</v>
      </c>
      <c r="AB11" s="2" t="s">
        <v>359</v>
      </c>
      <c r="AC11" s="2" t="s">
        <v>450</v>
      </c>
      <c r="AD11" s="2" t="s">
        <v>386</v>
      </c>
      <c r="AE11" s="2" t="s">
        <v>387</v>
      </c>
      <c r="AF11" s="2" t="s">
        <v>782</v>
      </c>
      <c r="AG11" s="2" t="s">
        <v>33</v>
      </c>
      <c r="AH11" s="2" t="s">
        <v>33</v>
      </c>
      <c r="AI11" s="2" t="s">
        <v>33</v>
      </c>
      <c r="AJ11" s="2" t="s">
        <v>33</v>
      </c>
      <c r="AK11" s="2" t="s">
        <v>33</v>
      </c>
      <c r="AL11" s="2">
        <v>2.0</v>
      </c>
      <c r="AM11" s="2">
        <v>4.0</v>
      </c>
      <c r="AN11" s="2">
        <v>1.0</v>
      </c>
      <c r="AO11" s="2">
        <v>3.0</v>
      </c>
      <c r="AP11" s="2">
        <v>3.0</v>
      </c>
      <c r="AQ11" s="2">
        <v>1.0</v>
      </c>
      <c r="AR11" s="2">
        <v>2.0</v>
      </c>
      <c r="AS11" s="2">
        <v>3.0</v>
      </c>
      <c r="AT11" s="2">
        <v>3.0</v>
      </c>
      <c r="AU11" s="2">
        <v>3.0</v>
      </c>
      <c r="AV11" s="2">
        <v>2.0</v>
      </c>
      <c r="AW11" s="2">
        <v>1.0</v>
      </c>
      <c r="AX11" s="2">
        <v>1.0</v>
      </c>
      <c r="AY11" s="2">
        <v>1.0</v>
      </c>
      <c r="AZ11" s="2">
        <v>1.0</v>
      </c>
      <c r="BA11" s="2">
        <v>3.0</v>
      </c>
      <c r="BB11" s="2">
        <v>4.0</v>
      </c>
      <c r="BC11" s="2">
        <v>1.0</v>
      </c>
      <c r="BD11" s="2">
        <v>1.0</v>
      </c>
      <c r="BE11" s="2">
        <v>5.0</v>
      </c>
      <c r="BF11" s="2">
        <v>1.0</v>
      </c>
      <c r="BG11" s="2">
        <v>1.0</v>
      </c>
      <c r="BH11" s="2">
        <v>5.0</v>
      </c>
      <c r="BI11" s="2">
        <v>1.0</v>
      </c>
      <c r="BJ11" s="2">
        <v>3.0</v>
      </c>
      <c r="BK11" s="2">
        <v>2.0</v>
      </c>
      <c r="BL11" s="2">
        <v>1.0</v>
      </c>
      <c r="BM11" s="2">
        <v>3.0</v>
      </c>
      <c r="BN11" s="2">
        <v>5.0</v>
      </c>
      <c r="BO11" s="2">
        <v>1.0</v>
      </c>
      <c r="BP11" s="2">
        <v>1.0</v>
      </c>
      <c r="BQ11" s="2" t="s">
        <v>390</v>
      </c>
      <c r="BR11" s="2" t="s">
        <v>396</v>
      </c>
      <c r="BS11" s="2" t="s">
        <v>873</v>
      </c>
      <c r="BT11" s="2" t="s">
        <v>730</v>
      </c>
      <c r="BU11" s="2" t="s">
        <v>33</v>
      </c>
      <c r="BV11" s="2" t="s">
        <v>33</v>
      </c>
      <c r="BW11" s="2" t="s">
        <v>33</v>
      </c>
      <c r="BX11" s="2" t="s">
        <v>33</v>
      </c>
      <c r="BY11" s="2" t="s">
        <v>33</v>
      </c>
      <c r="BZ11" s="2" t="s">
        <v>33</v>
      </c>
      <c r="CA11" s="2" t="s">
        <v>33</v>
      </c>
      <c r="CB11" s="2" t="s">
        <v>33</v>
      </c>
      <c r="CC11" s="2" t="s">
        <v>877</v>
      </c>
      <c r="CD11" s="2">
        <v>1.0</v>
      </c>
      <c r="CE11" s="2" t="s">
        <v>878</v>
      </c>
      <c r="CF11" s="2" t="s">
        <v>33</v>
      </c>
      <c r="CG11" s="2" t="s">
        <v>33</v>
      </c>
      <c r="CH11" s="2" t="s">
        <v>33</v>
      </c>
      <c r="CI11" s="2" t="s">
        <v>33</v>
      </c>
      <c r="CJ11" s="2" t="s">
        <v>33</v>
      </c>
      <c r="CK11" s="2" t="s">
        <v>859</v>
      </c>
      <c r="CL11" s="2" t="s">
        <v>466</v>
      </c>
      <c r="CM11" s="4">
        <v>45323.0</v>
      </c>
      <c r="CN11" s="4">
        <v>45323.0</v>
      </c>
      <c r="CO11" s="2">
        <v>1.0</v>
      </c>
      <c r="CP11" s="2" t="s">
        <v>529</v>
      </c>
      <c r="CQ11" s="2" t="s">
        <v>369</v>
      </c>
      <c r="CR11" s="2" t="s">
        <v>442</v>
      </c>
      <c r="CS11" s="2" t="s">
        <v>529</v>
      </c>
      <c r="CT11" s="2" t="s">
        <v>645</v>
      </c>
      <c r="CU11" s="2" t="s">
        <v>860</v>
      </c>
    </row>
    <row r="12" ht="12.75" customHeight="1">
      <c r="A12" s="2">
        <v>11.0</v>
      </c>
      <c r="B12" s="2">
        <v>4.0</v>
      </c>
      <c r="C12" s="2" t="s">
        <v>358</v>
      </c>
      <c r="D12" s="2" t="s">
        <v>359</v>
      </c>
      <c r="E12" s="2" t="s">
        <v>360</v>
      </c>
      <c r="F12" s="2" t="s">
        <v>437</v>
      </c>
      <c r="G12" s="2" t="s">
        <v>437</v>
      </c>
      <c r="H12" s="2" t="s">
        <v>540</v>
      </c>
      <c r="I12" s="2" t="s">
        <v>363</v>
      </c>
      <c r="J12" s="2" t="s">
        <v>365</v>
      </c>
      <c r="K12" s="2" t="s">
        <v>366</v>
      </c>
      <c r="L12" s="2" t="s">
        <v>367</v>
      </c>
      <c r="M12" s="2" t="s">
        <v>645</v>
      </c>
      <c r="N12" s="2" t="s">
        <v>802</v>
      </c>
      <c r="O12" s="2" t="s">
        <v>370</v>
      </c>
      <c r="P12" s="2" t="s">
        <v>372</v>
      </c>
      <c r="Q12" s="2" t="s">
        <v>480</v>
      </c>
      <c r="R12" s="2" t="s">
        <v>480</v>
      </c>
      <c r="S12" s="2" t="s">
        <v>378</v>
      </c>
      <c r="T12" s="2" t="s">
        <v>378</v>
      </c>
      <c r="U12" s="2" t="s">
        <v>378</v>
      </c>
      <c r="V12" s="2" t="s">
        <v>378</v>
      </c>
      <c r="W12" s="2" t="s">
        <v>444</v>
      </c>
      <c r="X12" s="2" t="s">
        <v>444</v>
      </c>
      <c r="Y12" s="2" t="s">
        <v>444</v>
      </c>
      <c r="Z12" s="2" t="s">
        <v>444</v>
      </c>
      <c r="AA12" s="2" t="s">
        <v>447</v>
      </c>
      <c r="AB12" s="2" t="s">
        <v>490</v>
      </c>
      <c r="AC12" s="2" t="s">
        <v>450</v>
      </c>
      <c r="AD12" s="2" t="s">
        <v>451</v>
      </c>
      <c r="AE12" s="2" t="s">
        <v>387</v>
      </c>
      <c r="AF12" s="2" t="s">
        <v>388</v>
      </c>
      <c r="AG12" s="2" t="s">
        <v>454</v>
      </c>
      <c r="AH12" s="2" t="s">
        <v>455</v>
      </c>
      <c r="AI12" s="2" t="s">
        <v>33</v>
      </c>
      <c r="AJ12" s="2" t="s">
        <v>33</v>
      </c>
      <c r="AK12" s="2" t="s">
        <v>33</v>
      </c>
      <c r="AL12" s="2">
        <v>3.0</v>
      </c>
      <c r="AM12" s="2">
        <v>4.0</v>
      </c>
      <c r="AN12" s="2">
        <v>2.0</v>
      </c>
      <c r="AO12" s="2">
        <v>2.0</v>
      </c>
      <c r="AP12" s="2">
        <v>2.0</v>
      </c>
      <c r="AQ12" s="2">
        <v>2.0</v>
      </c>
      <c r="AR12" s="2">
        <v>1.0</v>
      </c>
      <c r="AS12" s="2">
        <v>1.0</v>
      </c>
      <c r="AT12" s="2">
        <v>1.0</v>
      </c>
      <c r="AU12" s="2">
        <v>1.0</v>
      </c>
      <c r="AV12" s="2">
        <v>1.0</v>
      </c>
      <c r="AW12" s="2">
        <v>3.0</v>
      </c>
      <c r="AX12" s="2">
        <v>2.0</v>
      </c>
      <c r="AY12" s="2">
        <v>1.0</v>
      </c>
      <c r="AZ12" s="2">
        <v>1.0</v>
      </c>
      <c r="BA12" s="2">
        <v>3.0</v>
      </c>
      <c r="BB12" s="2">
        <v>1.0</v>
      </c>
      <c r="BC12" s="2">
        <v>1.0</v>
      </c>
      <c r="BD12" s="2">
        <v>1.0</v>
      </c>
      <c r="BE12" s="2">
        <v>4.0</v>
      </c>
      <c r="BF12" s="2">
        <v>1.0</v>
      </c>
      <c r="BG12" s="2">
        <v>1.0</v>
      </c>
      <c r="BH12" s="2">
        <v>1.0</v>
      </c>
      <c r="BI12" s="2">
        <v>1.0</v>
      </c>
      <c r="BJ12" s="2">
        <v>1.0</v>
      </c>
      <c r="BK12" s="2">
        <v>1.0</v>
      </c>
      <c r="BL12" s="2">
        <v>1.0</v>
      </c>
      <c r="BM12" s="2">
        <v>1.0</v>
      </c>
      <c r="BN12" s="2">
        <v>3.0</v>
      </c>
      <c r="BO12" s="2">
        <v>1.0</v>
      </c>
      <c r="BP12" s="2">
        <v>1.0</v>
      </c>
      <c r="BQ12" s="2" t="s">
        <v>389</v>
      </c>
      <c r="BR12" s="2" t="s">
        <v>390</v>
      </c>
      <c r="BS12" s="2" t="s">
        <v>391</v>
      </c>
      <c r="BT12" s="2" t="s">
        <v>392</v>
      </c>
      <c r="BU12" s="2" t="s">
        <v>393</v>
      </c>
      <c r="BV12" s="2" t="s">
        <v>395</v>
      </c>
      <c r="BW12" s="2" t="s">
        <v>396</v>
      </c>
      <c r="BX12" s="2" t="s">
        <v>33</v>
      </c>
      <c r="BY12" s="2" t="s">
        <v>33</v>
      </c>
      <c r="BZ12" s="2" t="s">
        <v>33</v>
      </c>
      <c r="CA12" s="2" t="s">
        <v>33</v>
      </c>
      <c r="CB12" s="2" t="s">
        <v>33</v>
      </c>
      <c r="CC12" s="2" t="s">
        <v>898</v>
      </c>
      <c r="CD12" s="2">
        <v>4.0</v>
      </c>
      <c r="CE12" s="2" t="s">
        <v>899</v>
      </c>
      <c r="CF12" s="2" t="s">
        <v>33</v>
      </c>
      <c r="CG12" s="2" t="s">
        <v>33</v>
      </c>
      <c r="CH12" s="2" t="s">
        <v>33</v>
      </c>
      <c r="CI12" s="2" t="s">
        <v>33</v>
      </c>
      <c r="CJ12" s="2" t="s">
        <v>33</v>
      </c>
      <c r="CK12" s="2" t="s">
        <v>425</v>
      </c>
      <c r="CL12" s="2" t="s">
        <v>367</v>
      </c>
      <c r="CM12" s="4">
        <v>45325.0</v>
      </c>
      <c r="CN12" s="4">
        <v>45330.0</v>
      </c>
      <c r="CO12" s="2">
        <v>6.0</v>
      </c>
      <c r="CP12" s="2" t="s">
        <v>529</v>
      </c>
      <c r="CQ12" s="2" t="s">
        <v>802</v>
      </c>
      <c r="CR12" s="2" t="s">
        <v>370</v>
      </c>
      <c r="CS12" s="2" t="s">
        <v>529</v>
      </c>
      <c r="CT12" s="2" t="s">
        <v>645</v>
      </c>
      <c r="CU12" s="2" t="s">
        <v>372</v>
      </c>
    </row>
    <row r="13" ht="12.75" customHeight="1">
      <c r="A13" s="2">
        <v>12.0</v>
      </c>
      <c r="B13" s="2">
        <v>13.0</v>
      </c>
      <c r="C13" s="2" t="s">
        <v>358</v>
      </c>
      <c r="D13" s="2" t="s">
        <v>359</v>
      </c>
      <c r="E13" s="2" t="s">
        <v>360</v>
      </c>
      <c r="F13" s="2" t="s">
        <v>361</v>
      </c>
      <c r="G13" s="2" t="s">
        <v>361</v>
      </c>
      <c r="H13" s="2" t="s">
        <v>540</v>
      </c>
      <c r="I13" s="2" t="s">
        <v>438</v>
      </c>
      <c r="J13" s="2" t="s">
        <v>438</v>
      </c>
      <c r="K13" s="2" t="s">
        <v>366</v>
      </c>
      <c r="L13" s="2" t="s">
        <v>440</v>
      </c>
      <c r="M13" s="2" t="s">
        <v>368</v>
      </c>
      <c r="N13" s="2" t="s">
        <v>478</v>
      </c>
      <c r="O13" s="2" t="s">
        <v>442</v>
      </c>
      <c r="P13" s="2" t="s">
        <v>372</v>
      </c>
      <c r="Q13" s="2" t="s">
        <v>361</v>
      </c>
      <c r="R13" s="2" t="s">
        <v>361</v>
      </c>
      <c r="S13" s="2" t="s">
        <v>444</v>
      </c>
      <c r="T13" s="2" t="s">
        <v>444</v>
      </c>
      <c r="U13" s="2" t="s">
        <v>378</v>
      </c>
      <c r="V13" s="2" t="s">
        <v>376</v>
      </c>
      <c r="W13" s="2" t="s">
        <v>444</v>
      </c>
      <c r="X13" s="2" t="s">
        <v>444</v>
      </c>
      <c r="Y13" s="2" t="s">
        <v>444</v>
      </c>
      <c r="Z13" s="2" t="s">
        <v>444</v>
      </c>
      <c r="AA13" s="2" t="s">
        <v>447</v>
      </c>
      <c r="AB13" s="2" t="s">
        <v>490</v>
      </c>
      <c r="AC13" s="2" t="s">
        <v>552</v>
      </c>
      <c r="AD13" s="2" t="s">
        <v>452</v>
      </c>
      <c r="AE13" s="2" t="s">
        <v>387</v>
      </c>
      <c r="AF13" s="2" t="s">
        <v>33</v>
      </c>
      <c r="AG13" s="2" t="s">
        <v>33</v>
      </c>
      <c r="AH13" s="2" t="s">
        <v>33</v>
      </c>
      <c r="AI13" s="2" t="s">
        <v>33</v>
      </c>
      <c r="AJ13" s="2" t="s">
        <v>33</v>
      </c>
      <c r="AK13" s="2" t="s">
        <v>33</v>
      </c>
      <c r="AL13" s="2">
        <v>2.0</v>
      </c>
      <c r="AM13" s="2">
        <v>3.0</v>
      </c>
      <c r="AN13" s="2">
        <v>1.0</v>
      </c>
      <c r="AO13" s="2">
        <v>4.0</v>
      </c>
      <c r="AP13" s="2">
        <v>4.0</v>
      </c>
      <c r="AQ13" s="2">
        <v>1.0</v>
      </c>
      <c r="AR13" s="2">
        <v>4.0</v>
      </c>
      <c r="AS13" s="2">
        <v>4.0</v>
      </c>
      <c r="AT13" s="2">
        <v>2.0</v>
      </c>
      <c r="AU13" s="2">
        <v>1.0</v>
      </c>
      <c r="AV13" s="2">
        <v>4.0</v>
      </c>
      <c r="AW13" s="2">
        <v>1.0</v>
      </c>
      <c r="AX13" s="2">
        <v>2.0</v>
      </c>
      <c r="AY13" s="2">
        <v>1.0</v>
      </c>
      <c r="AZ13" s="2">
        <v>2.0</v>
      </c>
      <c r="BA13" s="2">
        <v>2.0</v>
      </c>
      <c r="BB13" s="2">
        <v>1.0</v>
      </c>
      <c r="BC13" s="2">
        <v>1.0</v>
      </c>
      <c r="BD13" s="2">
        <v>2.0</v>
      </c>
      <c r="BE13" s="2">
        <v>4.0</v>
      </c>
      <c r="BF13" s="2">
        <v>3.0</v>
      </c>
      <c r="BG13" s="2">
        <v>1.0</v>
      </c>
      <c r="BH13" s="2">
        <v>1.0</v>
      </c>
      <c r="BI13" s="2">
        <v>1.0</v>
      </c>
      <c r="BJ13" s="2">
        <v>1.0</v>
      </c>
      <c r="BK13" s="2">
        <v>1.0</v>
      </c>
      <c r="BL13" s="2">
        <v>1.0</v>
      </c>
      <c r="BM13" s="2">
        <v>1.0</v>
      </c>
      <c r="BN13" s="2">
        <v>3.0</v>
      </c>
      <c r="BO13" s="2">
        <v>1.0</v>
      </c>
      <c r="BP13" s="2">
        <v>1.0</v>
      </c>
      <c r="BQ13" s="2" t="s">
        <v>389</v>
      </c>
      <c r="BR13" s="2" t="s">
        <v>390</v>
      </c>
      <c r="BS13" s="2" t="s">
        <v>391</v>
      </c>
      <c r="BT13" s="2" t="s">
        <v>393</v>
      </c>
      <c r="BU13" s="2" t="s">
        <v>396</v>
      </c>
      <c r="BV13" s="2" t="s">
        <v>33</v>
      </c>
      <c r="BW13" s="2" t="s">
        <v>33</v>
      </c>
      <c r="BX13" s="2" t="s">
        <v>33</v>
      </c>
      <c r="BY13" s="2" t="s">
        <v>33</v>
      </c>
      <c r="BZ13" s="2" t="s">
        <v>33</v>
      </c>
      <c r="CA13" s="2" t="s">
        <v>33</v>
      </c>
      <c r="CB13" s="2" t="s">
        <v>33</v>
      </c>
      <c r="CC13" s="2" t="s">
        <v>950</v>
      </c>
      <c r="CD13" s="2">
        <v>5.0</v>
      </c>
      <c r="CE13" s="2" t="s">
        <v>952</v>
      </c>
      <c r="CF13" s="2" t="s">
        <v>33</v>
      </c>
      <c r="CG13" s="2" t="s">
        <v>33</v>
      </c>
      <c r="CH13" s="2" t="s">
        <v>33</v>
      </c>
      <c r="CI13" s="2" t="s">
        <v>33</v>
      </c>
      <c r="CJ13" s="2" t="s">
        <v>33</v>
      </c>
      <c r="CK13" s="2" t="s">
        <v>438</v>
      </c>
      <c r="CL13" s="2" t="s">
        <v>466</v>
      </c>
      <c r="CM13" s="4">
        <v>45317.0</v>
      </c>
      <c r="CN13" s="4">
        <v>45321.0</v>
      </c>
      <c r="CO13" s="2">
        <v>5.0</v>
      </c>
      <c r="CP13" s="2" t="s">
        <v>434</v>
      </c>
      <c r="CQ13" s="2" t="s">
        <v>478</v>
      </c>
      <c r="CR13" s="2" t="s">
        <v>442</v>
      </c>
      <c r="CS13" s="2" t="s">
        <v>434</v>
      </c>
      <c r="CT13" s="2" t="s">
        <v>368</v>
      </c>
      <c r="CU13" s="2" t="s">
        <v>372</v>
      </c>
    </row>
    <row r="14" ht="12.75" customHeight="1">
      <c r="A14" s="2">
        <v>13.0</v>
      </c>
      <c r="B14" s="2">
        <v>7.0</v>
      </c>
      <c r="C14" s="2" t="s">
        <v>358</v>
      </c>
      <c r="D14" s="2" t="s">
        <v>359</v>
      </c>
      <c r="E14" s="2" t="s">
        <v>473</v>
      </c>
      <c r="F14" s="2" t="s">
        <v>361</v>
      </c>
      <c r="G14" s="2" t="s">
        <v>361</v>
      </c>
      <c r="H14" s="2" t="s">
        <v>362</v>
      </c>
      <c r="I14" s="2" t="s">
        <v>960</v>
      </c>
      <c r="J14" s="2" t="s">
        <v>599</v>
      </c>
      <c r="K14" s="2" t="s">
        <v>366</v>
      </c>
      <c r="L14" s="2" t="s">
        <v>599</v>
      </c>
      <c r="M14" s="2" t="s">
        <v>368</v>
      </c>
      <c r="N14" s="2" t="s">
        <v>441</v>
      </c>
      <c r="O14" s="2" t="s">
        <v>442</v>
      </c>
      <c r="P14" s="2" t="s">
        <v>372</v>
      </c>
      <c r="Q14" s="2" t="s">
        <v>361</v>
      </c>
      <c r="R14" s="2" t="s">
        <v>361</v>
      </c>
      <c r="S14" s="2" t="s">
        <v>378</v>
      </c>
      <c r="T14" s="2" t="s">
        <v>378</v>
      </c>
      <c r="U14" s="2" t="s">
        <v>378</v>
      </c>
      <c r="V14" s="2" t="s">
        <v>444</v>
      </c>
      <c r="W14" s="2" t="s">
        <v>444</v>
      </c>
      <c r="X14" s="2" t="s">
        <v>444</v>
      </c>
      <c r="Y14" s="2" t="s">
        <v>444</v>
      </c>
      <c r="Z14" s="2" t="s">
        <v>378</v>
      </c>
      <c r="AA14" s="2" t="s">
        <v>382</v>
      </c>
      <c r="AB14" s="2" t="s">
        <v>490</v>
      </c>
      <c r="AC14" s="2" t="s">
        <v>450</v>
      </c>
      <c r="AD14" s="2" t="s">
        <v>451</v>
      </c>
      <c r="AE14" s="2" t="s">
        <v>452</v>
      </c>
      <c r="AF14" s="2" t="s">
        <v>386</v>
      </c>
      <c r="AG14" s="2" t="s">
        <v>387</v>
      </c>
      <c r="AH14" s="2" t="s">
        <v>388</v>
      </c>
      <c r="AI14" s="2" t="s">
        <v>454</v>
      </c>
      <c r="AJ14" s="2" t="s">
        <v>33</v>
      </c>
      <c r="AK14" s="2" t="s">
        <v>33</v>
      </c>
      <c r="AL14" s="2">
        <v>2.0</v>
      </c>
      <c r="AM14" s="2">
        <v>3.0</v>
      </c>
      <c r="AN14" s="2">
        <v>1.0</v>
      </c>
      <c r="AO14" s="2">
        <v>3.0</v>
      </c>
      <c r="AP14" s="2">
        <v>4.0</v>
      </c>
      <c r="AQ14" s="2">
        <v>1.0</v>
      </c>
      <c r="AR14" s="2">
        <v>3.0</v>
      </c>
      <c r="AS14" s="2">
        <v>3.0</v>
      </c>
      <c r="AT14" s="2">
        <v>1.0</v>
      </c>
      <c r="AU14" s="2">
        <v>3.0</v>
      </c>
      <c r="AV14" s="2">
        <v>3.0</v>
      </c>
      <c r="AW14" s="2">
        <v>2.0</v>
      </c>
      <c r="AX14" s="2">
        <v>3.0</v>
      </c>
      <c r="AY14" s="2">
        <v>2.0</v>
      </c>
      <c r="AZ14" s="2">
        <v>3.0</v>
      </c>
      <c r="BA14" s="2">
        <v>2.0</v>
      </c>
      <c r="BB14" s="2">
        <v>3.0</v>
      </c>
      <c r="BC14" s="2">
        <v>2.0</v>
      </c>
      <c r="BD14" s="2">
        <v>4.0</v>
      </c>
      <c r="BE14" s="2">
        <v>4.0</v>
      </c>
      <c r="BF14" s="2">
        <v>4.0</v>
      </c>
      <c r="BG14" s="2">
        <v>1.0</v>
      </c>
      <c r="BH14" s="2">
        <v>1.0</v>
      </c>
      <c r="BI14" s="2">
        <v>1.0</v>
      </c>
      <c r="BJ14" s="2">
        <v>1.0</v>
      </c>
      <c r="BK14" s="2">
        <v>2.0</v>
      </c>
      <c r="BL14" s="2">
        <v>1.0</v>
      </c>
      <c r="BM14" s="2">
        <v>1.0</v>
      </c>
      <c r="BN14" s="2">
        <v>3.0</v>
      </c>
      <c r="BO14" s="2">
        <v>1.0</v>
      </c>
      <c r="BP14" s="2">
        <v>1.0</v>
      </c>
      <c r="BQ14" s="2" t="s">
        <v>389</v>
      </c>
      <c r="BR14" s="2" t="s">
        <v>390</v>
      </c>
      <c r="BS14" s="2" t="s">
        <v>391</v>
      </c>
      <c r="BT14" s="2" t="s">
        <v>392</v>
      </c>
      <c r="BU14" s="2" t="s">
        <v>396</v>
      </c>
      <c r="BV14" s="2" t="s">
        <v>573</v>
      </c>
      <c r="BW14" s="2" t="s">
        <v>730</v>
      </c>
      <c r="BX14" s="2" t="s">
        <v>33</v>
      </c>
      <c r="BY14" s="2" t="s">
        <v>33</v>
      </c>
      <c r="BZ14" s="2" t="s">
        <v>33</v>
      </c>
      <c r="CA14" s="2" t="s">
        <v>33</v>
      </c>
      <c r="CB14" s="2" t="s">
        <v>33</v>
      </c>
      <c r="CC14" s="2" t="s">
        <v>973</v>
      </c>
      <c r="CD14" s="2">
        <v>6.0</v>
      </c>
      <c r="CE14" s="2" t="s">
        <v>952</v>
      </c>
      <c r="CF14" s="2" t="s">
        <v>33</v>
      </c>
      <c r="CG14" s="2" t="s">
        <v>33</v>
      </c>
      <c r="CH14" s="2" t="s">
        <v>33</v>
      </c>
      <c r="CI14" s="2" t="s">
        <v>33</v>
      </c>
      <c r="CJ14" s="2" t="s">
        <v>33</v>
      </c>
      <c r="CK14" s="2" t="s">
        <v>960</v>
      </c>
      <c r="CL14" s="2" t="s">
        <v>466</v>
      </c>
      <c r="CM14" s="4">
        <v>45318.0</v>
      </c>
      <c r="CN14" s="4">
        <v>45324.0</v>
      </c>
      <c r="CO14" s="2">
        <v>7.0</v>
      </c>
      <c r="CP14" s="2" t="s">
        <v>434</v>
      </c>
      <c r="CQ14" s="2" t="s">
        <v>441</v>
      </c>
      <c r="CR14" s="2" t="s">
        <v>442</v>
      </c>
      <c r="CS14" s="2" t="s">
        <v>434</v>
      </c>
      <c r="CT14" s="2" t="s">
        <v>368</v>
      </c>
      <c r="CU14" s="2" t="s">
        <v>372</v>
      </c>
    </row>
    <row r="15" ht="12.75" customHeight="1">
      <c r="A15" s="2">
        <v>14.0</v>
      </c>
      <c r="B15" s="2">
        <v>1.0</v>
      </c>
      <c r="C15" s="2" t="s">
        <v>358</v>
      </c>
      <c r="D15" s="2" t="s">
        <v>359</v>
      </c>
      <c r="E15" s="2" t="s">
        <v>978</v>
      </c>
      <c r="F15" s="2" t="s">
        <v>437</v>
      </c>
      <c r="G15" s="2" t="s">
        <v>437</v>
      </c>
      <c r="H15" s="2" t="s">
        <v>362</v>
      </c>
      <c r="I15" s="2" t="s">
        <v>979</v>
      </c>
      <c r="J15" s="2" t="s">
        <v>979</v>
      </c>
      <c r="K15" s="2" t="s">
        <v>981</v>
      </c>
      <c r="L15" s="2" t="s">
        <v>984</v>
      </c>
      <c r="M15" s="2" t="s">
        <v>368</v>
      </c>
      <c r="N15" s="2" t="s">
        <v>441</v>
      </c>
      <c r="O15" s="2" t="s">
        <v>442</v>
      </c>
      <c r="P15" s="2" t="s">
        <v>372</v>
      </c>
      <c r="Q15" s="2" t="s">
        <v>480</v>
      </c>
      <c r="R15" s="2" t="s">
        <v>480</v>
      </c>
      <c r="S15" s="2" t="s">
        <v>378</v>
      </c>
      <c r="T15" s="2" t="s">
        <v>376</v>
      </c>
      <c r="U15" s="2" t="s">
        <v>378</v>
      </c>
      <c r="V15" s="2" t="s">
        <v>378</v>
      </c>
      <c r="W15" s="2" t="s">
        <v>378</v>
      </c>
      <c r="X15" s="2" t="s">
        <v>378</v>
      </c>
      <c r="Y15" s="2" t="s">
        <v>378</v>
      </c>
      <c r="Z15" s="2" t="s">
        <v>378</v>
      </c>
      <c r="AA15" s="2" t="s">
        <v>986</v>
      </c>
      <c r="AB15" s="2" t="s">
        <v>551</v>
      </c>
      <c r="AC15" s="2" t="s">
        <v>450</v>
      </c>
      <c r="AD15" s="2" t="s">
        <v>451</v>
      </c>
      <c r="AE15" s="2" t="s">
        <v>452</v>
      </c>
      <c r="AF15" s="2" t="s">
        <v>386</v>
      </c>
      <c r="AG15" s="2" t="s">
        <v>387</v>
      </c>
      <c r="AH15" s="2" t="s">
        <v>388</v>
      </c>
      <c r="AI15" s="2" t="s">
        <v>455</v>
      </c>
      <c r="AJ15" s="2" t="s">
        <v>33</v>
      </c>
      <c r="AK15" s="2" t="s">
        <v>33</v>
      </c>
      <c r="AL15" s="2">
        <v>3.0</v>
      </c>
      <c r="AM15" s="2">
        <v>2.0</v>
      </c>
      <c r="AN15" s="2">
        <v>2.0</v>
      </c>
      <c r="AO15" s="2">
        <v>3.0</v>
      </c>
      <c r="AP15" s="2">
        <v>4.0</v>
      </c>
      <c r="AQ15" s="2">
        <v>2.0</v>
      </c>
      <c r="AR15" s="2">
        <v>4.0</v>
      </c>
      <c r="AS15" s="2">
        <v>4.0</v>
      </c>
      <c r="AT15" s="2">
        <v>2.0</v>
      </c>
      <c r="AU15" s="2">
        <v>2.0</v>
      </c>
      <c r="AV15" s="2">
        <v>2.0</v>
      </c>
      <c r="AW15" s="2">
        <v>2.0</v>
      </c>
      <c r="AX15" s="2">
        <v>2.0</v>
      </c>
      <c r="AY15" s="2">
        <v>2.0</v>
      </c>
      <c r="AZ15" s="2">
        <v>2.0</v>
      </c>
      <c r="BA15" s="2">
        <v>5.0</v>
      </c>
      <c r="BB15" s="2">
        <v>3.0</v>
      </c>
      <c r="BC15" s="2">
        <v>3.0</v>
      </c>
      <c r="BD15" s="2">
        <v>1.0</v>
      </c>
      <c r="BE15" s="2">
        <v>4.0</v>
      </c>
      <c r="BF15" s="2">
        <v>2.0</v>
      </c>
      <c r="BG15" s="2">
        <v>2.0</v>
      </c>
      <c r="BH15" s="2">
        <v>2.0</v>
      </c>
      <c r="BI15" s="2">
        <v>2.0</v>
      </c>
      <c r="BJ15" s="2">
        <v>2.0</v>
      </c>
      <c r="BK15" s="2">
        <v>2.0</v>
      </c>
      <c r="BL15" s="2">
        <v>1.0</v>
      </c>
      <c r="BM15" s="2">
        <v>2.0</v>
      </c>
      <c r="BN15" s="2">
        <v>2.0</v>
      </c>
      <c r="BO15" s="2">
        <v>2.0</v>
      </c>
      <c r="BP15" s="2">
        <v>2.0</v>
      </c>
      <c r="BQ15" s="2" t="s">
        <v>568</v>
      </c>
      <c r="BR15" s="2" t="s">
        <v>389</v>
      </c>
      <c r="BS15" s="2" t="s">
        <v>390</v>
      </c>
      <c r="BT15" s="2" t="s">
        <v>391</v>
      </c>
      <c r="BU15" s="2" t="s">
        <v>393</v>
      </c>
      <c r="BV15" s="2" t="s">
        <v>394</v>
      </c>
      <c r="BW15" s="2" t="s">
        <v>395</v>
      </c>
      <c r="BX15" s="2" t="s">
        <v>396</v>
      </c>
      <c r="BY15" s="2" t="s">
        <v>730</v>
      </c>
      <c r="BZ15" s="2" t="s">
        <v>33</v>
      </c>
      <c r="CA15" s="2" t="s">
        <v>33</v>
      </c>
      <c r="CB15" s="2" t="s">
        <v>33</v>
      </c>
      <c r="CC15" s="3" t="s">
        <v>995</v>
      </c>
      <c r="CD15" s="2">
        <v>5.0</v>
      </c>
      <c r="CE15" s="2" t="s">
        <v>794</v>
      </c>
      <c r="CF15" s="2" t="s">
        <v>952</v>
      </c>
      <c r="CG15" s="2" t="s">
        <v>998</v>
      </c>
      <c r="CH15" s="2" t="s">
        <v>999</v>
      </c>
      <c r="CI15" s="2" t="s">
        <v>1000</v>
      </c>
      <c r="CJ15" s="2" t="s">
        <v>33</v>
      </c>
      <c r="CK15" s="2" t="s">
        <v>979</v>
      </c>
      <c r="CL15" s="2" t="s">
        <v>466</v>
      </c>
      <c r="CM15" s="4">
        <v>45314.0</v>
      </c>
      <c r="CN15" s="4">
        <v>45317.0</v>
      </c>
      <c r="CO15" s="2">
        <v>4.0</v>
      </c>
      <c r="CP15" s="2" t="s">
        <v>529</v>
      </c>
      <c r="CQ15" s="2" t="s">
        <v>441</v>
      </c>
      <c r="CR15" s="2" t="s">
        <v>442</v>
      </c>
      <c r="CS15" s="2" t="s">
        <v>529</v>
      </c>
      <c r="CT15" s="2" t="s">
        <v>368</v>
      </c>
      <c r="CU15" s="2" t="s">
        <v>372</v>
      </c>
    </row>
    <row r="16" ht="12.75" customHeight="1">
      <c r="A16" s="2">
        <v>15.0</v>
      </c>
      <c r="B16" s="2">
        <v>13.0</v>
      </c>
      <c r="C16" s="2" t="s">
        <v>358</v>
      </c>
      <c r="D16" s="2" t="s">
        <v>359</v>
      </c>
      <c r="E16" s="2" t="s">
        <v>360</v>
      </c>
      <c r="F16" s="2" t="s">
        <v>539</v>
      </c>
      <c r="G16" s="2" t="s">
        <v>539</v>
      </c>
      <c r="H16" s="2" t="s">
        <v>362</v>
      </c>
      <c r="I16" s="2" t="s">
        <v>438</v>
      </c>
      <c r="J16" s="2" t="s">
        <v>438</v>
      </c>
      <c r="K16" s="2" t="s">
        <v>366</v>
      </c>
      <c r="L16" s="2" t="s">
        <v>440</v>
      </c>
      <c r="M16" s="2" t="s">
        <v>645</v>
      </c>
      <c r="N16" s="2" t="s">
        <v>802</v>
      </c>
      <c r="O16" s="2" t="s">
        <v>442</v>
      </c>
      <c r="P16" s="2" t="s">
        <v>762</v>
      </c>
      <c r="Q16" s="2" t="s">
        <v>480</v>
      </c>
      <c r="R16" s="2" t="s">
        <v>480</v>
      </c>
      <c r="S16" s="2" t="s">
        <v>378</v>
      </c>
      <c r="T16" s="2" t="s">
        <v>376</v>
      </c>
      <c r="U16" s="2" t="s">
        <v>378</v>
      </c>
      <c r="V16" s="2" t="s">
        <v>378</v>
      </c>
      <c r="W16" s="2" t="s">
        <v>376</v>
      </c>
      <c r="X16" s="2" t="s">
        <v>444</v>
      </c>
      <c r="Y16" s="2" t="s">
        <v>376</v>
      </c>
      <c r="Z16" s="2" t="s">
        <v>378</v>
      </c>
      <c r="AA16" s="2" t="s">
        <v>447</v>
      </c>
      <c r="AB16" s="2" t="s">
        <v>1009</v>
      </c>
      <c r="AC16" s="2" t="s">
        <v>806</v>
      </c>
      <c r="AD16" s="2" t="s">
        <v>455</v>
      </c>
      <c r="AE16" s="2" t="s">
        <v>33</v>
      </c>
      <c r="AF16" s="2" t="s">
        <v>33</v>
      </c>
      <c r="AG16" s="2" t="s">
        <v>33</v>
      </c>
      <c r="AH16" s="2" t="s">
        <v>33</v>
      </c>
      <c r="AI16" s="2" t="s">
        <v>33</v>
      </c>
      <c r="AJ16" s="2" t="s">
        <v>33</v>
      </c>
      <c r="AK16" s="2" t="s">
        <v>33</v>
      </c>
      <c r="AL16" s="2">
        <v>4.0</v>
      </c>
      <c r="AM16" s="2">
        <v>2.0</v>
      </c>
      <c r="AN16" s="2">
        <v>3.0</v>
      </c>
      <c r="AO16" s="2">
        <v>2.0</v>
      </c>
      <c r="AP16" s="2">
        <v>2.0</v>
      </c>
      <c r="AQ16" s="2">
        <v>2.0</v>
      </c>
      <c r="AR16" s="2">
        <v>5.0</v>
      </c>
      <c r="AS16" s="2">
        <v>2.0</v>
      </c>
      <c r="AT16" s="2">
        <v>1.0</v>
      </c>
      <c r="AU16" s="2">
        <v>1.0</v>
      </c>
      <c r="AV16" s="2">
        <v>1.0</v>
      </c>
      <c r="AW16" s="2">
        <v>1.0</v>
      </c>
      <c r="AX16" s="2">
        <v>1.0</v>
      </c>
      <c r="AY16" s="2">
        <v>1.0</v>
      </c>
      <c r="AZ16" s="2">
        <v>1.0</v>
      </c>
      <c r="BA16" s="2">
        <v>1.0</v>
      </c>
      <c r="BB16" s="2">
        <v>1.0</v>
      </c>
      <c r="BC16" s="2">
        <v>1.0</v>
      </c>
      <c r="BD16" s="2">
        <v>1.0</v>
      </c>
      <c r="BE16" s="2">
        <v>2.0</v>
      </c>
      <c r="BF16" s="2">
        <v>1.0</v>
      </c>
      <c r="BG16" s="2">
        <v>1.0</v>
      </c>
      <c r="BH16" s="2">
        <v>1.0</v>
      </c>
      <c r="BI16" s="2">
        <v>1.0</v>
      </c>
      <c r="BJ16" s="2">
        <v>1.0</v>
      </c>
      <c r="BK16" s="2">
        <v>1.0</v>
      </c>
      <c r="BL16" s="2">
        <v>1.0</v>
      </c>
      <c r="BM16" s="2">
        <v>1.0</v>
      </c>
      <c r="BN16" s="2">
        <v>1.0</v>
      </c>
      <c r="BO16" s="2">
        <v>1.0</v>
      </c>
      <c r="BP16" s="2">
        <v>1.0</v>
      </c>
      <c r="BQ16" s="2" t="s">
        <v>390</v>
      </c>
      <c r="BR16" s="2" t="s">
        <v>391</v>
      </c>
      <c r="BS16" s="2" t="s">
        <v>392</v>
      </c>
      <c r="BT16" s="2" t="s">
        <v>393</v>
      </c>
      <c r="BU16" s="2" t="s">
        <v>396</v>
      </c>
      <c r="BV16" s="2" t="s">
        <v>573</v>
      </c>
      <c r="BW16" s="2" t="s">
        <v>33</v>
      </c>
      <c r="BX16" s="2" t="s">
        <v>33</v>
      </c>
      <c r="BY16" s="2" t="s">
        <v>33</v>
      </c>
      <c r="BZ16" s="2" t="s">
        <v>33</v>
      </c>
      <c r="CA16" s="2" t="s">
        <v>33</v>
      </c>
      <c r="CB16" s="2" t="s">
        <v>33</v>
      </c>
      <c r="CC16" s="2" t="s">
        <v>1017</v>
      </c>
      <c r="CD16" s="2">
        <v>5.0</v>
      </c>
      <c r="CE16" s="2" t="s">
        <v>794</v>
      </c>
      <c r="CF16" s="2" t="s">
        <v>33</v>
      </c>
      <c r="CG16" s="2" t="s">
        <v>1019</v>
      </c>
      <c r="CH16" s="2" t="s">
        <v>999</v>
      </c>
      <c r="CI16" s="2" t="s">
        <v>33</v>
      </c>
      <c r="CJ16" s="2" t="s">
        <v>33</v>
      </c>
      <c r="CK16" s="2" t="s">
        <v>438</v>
      </c>
      <c r="CL16" s="2" t="s">
        <v>466</v>
      </c>
      <c r="CM16" s="2" t="s">
        <v>33</v>
      </c>
      <c r="CN16" s="2" t="s">
        <v>33</v>
      </c>
      <c r="CO16" s="2" t="s">
        <v>33</v>
      </c>
      <c r="CP16" s="2" t="s">
        <v>529</v>
      </c>
      <c r="CQ16" s="2" t="s">
        <v>802</v>
      </c>
      <c r="CR16" s="2" t="s">
        <v>442</v>
      </c>
      <c r="CS16" s="2" t="s">
        <v>529</v>
      </c>
      <c r="CT16" s="2" t="s">
        <v>645</v>
      </c>
      <c r="CU16" s="2" t="s">
        <v>762</v>
      </c>
    </row>
    <row r="17" ht="12.75" customHeight="1">
      <c r="A17" s="2">
        <v>16.0</v>
      </c>
      <c r="B17" s="2">
        <v>3.0</v>
      </c>
      <c r="C17" s="2" t="s">
        <v>358</v>
      </c>
      <c r="D17" s="2" t="s">
        <v>359</v>
      </c>
      <c r="E17" s="2" t="s">
        <v>360</v>
      </c>
      <c r="F17" s="2" t="s">
        <v>437</v>
      </c>
      <c r="G17" s="2" t="s">
        <v>437</v>
      </c>
      <c r="H17" s="2" t="s">
        <v>362</v>
      </c>
      <c r="I17" s="2" t="s">
        <v>859</v>
      </c>
      <c r="J17" s="2" t="s">
        <v>599</v>
      </c>
      <c r="K17" s="2" t="s">
        <v>366</v>
      </c>
      <c r="L17" s="2" t="s">
        <v>599</v>
      </c>
      <c r="M17" s="2" t="s">
        <v>368</v>
      </c>
      <c r="N17" s="2" t="s">
        <v>1025</v>
      </c>
      <c r="O17" s="2" t="s">
        <v>442</v>
      </c>
      <c r="P17" s="2" t="s">
        <v>1026</v>
      </c>
      <c r="Q17" s="2" t="s">
        <v>480</v>
      </c>
      <c r="R17" s="2" t="s">
        <v>480</v>
      </c>
      <c r="S17" s="2" t="s">
        <v>444</v>
      </c>
      <c r="T17" s="2" t="s">
        <v>376</v>
      </c>
      <c r="U17" s="2" t="s">
        <v>378</v>
      </c>
      <c r="V17" s="2" t="s">
        <v>378</v>
      </c>
      <c r="W17" s="2" t="s">
        <v>444</v>
      </c>
      <c r="X17" s="2" t="s">
        <v>444</v>
      </c>
      <c r="Y17" s="2" t="s">
        <v>444</v>
      </c>
      <c r="Z17" s="2" t="s">
        <v>378</v>
      </c>
      <c r="AA17" s="2" t="s">
        <v>1031</v>
      </c>
      <c r="AB17" s="2" t="s">
        <v>551</v>
      </c>
      <c r="AC17" s="2" t="s">
        <v>552</v>
      </c>
      <c r="AD17" s="2" t="s">
        <v>452</v>
      </c>
      <c r="AE17" s="2" t="s">
        <v>387</v>
      </c>
      <c r="AF17" s="2" t="s">
        <v>388</v>
      </c>
      <c r="AG17" s="2" t="s">
        <v>33</v>
      </c>
      <c r="AH17" s="2" t="s">
        <v>33</v>
      </c>
      <c r="AI17" s="2" t="s">
        <v>33</v>
      </c>
      <c r="AJ17" s="2" t="s">
        <v>33</v>
      </c>
      <c r="AK17" s="2" t="s">
        <v>33</v>
      </c>
      <c r="AL17" s="2">
        <v>4.0</v>
      </c>
      <c r="AM17" s="2">
        <v>5.0</v>
      </c>
      <c r="AN17" s="2">
        <v>2.0</v>
      </c>
      <c r="AO17" s="2">
        <v>2.0</v>
      </c>
      <c r="AP17" s="2">
        <v>4.0</v>
      </c>
      <c r="AQ17" s="2">
        <v>2.0</v>
      </c>
      <c r="AR17" s="2">
        <v>5.0</v>
      </c>
      <c r="AS17" s="2">
        <v>4.0</v>
      </c>
      <c r="AT17" s="2">
        <v>2.0</v>
      </c>
      <c r="AU17" s="2">
        <v>3.0</v>
      </c>
      <c r="AV17" s="2">
        <v>4.0</v>
      </c>
      <c r="AW17" s="2">
        <v>5.0</v>
      </c>
      <c r="AX17" s="2">
        <v>2.0</v>
      </c>
      <c r="AY17" s="2">
        <v>3.0</v>
      </c>
      <c r="AZ17" s="2">
        <v>1.0</v>
      </c>
      <c r="BA17" s="2">
        <v>4.0</v>
      </c>
      <c r="BB17" s="2">
        <v>1.0</v>
      </c>
      <c r="BC17" s="2">
        <v>4.0</v>
      </c>
      <c r="BD17" s="2">
        <v>3.0</v>
      </c>
      <c r="BE17" s="2">
        <v>5.0</v>
      </c>
      <c r="BF17" s="2">
        <v>2.0</v>
      </c>
      <c r="BG17" s="2">
        <v>1.0</v>
      </c>
      <c r="BH17" s="2">
        <v>1.0</v>
      </c>
      <c r="BI17" s="2">
        <v>1.0</v>
      </c>
      <c r="BJ17" s="2">
        <v>4.0</v>
      </c>
      <c r="BK17" s="2">
        <v>1.0</v>
      </c>
      <c r="BL17" s="2">
        <v>1.0</v>
      </c>
      <c r="BM17" s="2">
        <v>1.0</v>
      </c>
      <c r="BN17" s="2">
        <v>5.0</v>
      </c>
      <c r="BO17" s="2">
        <v>2.0</v>
      </c>
      <c r="BP17" s="2">
        <v>1.0</v>
      </c>
      <c r="BQ17" s="2" t="s">
        <v>389</v>
      </c>
      <c r="BR17" s="2" t="s">
        <v>390</v>
      </c>
      <c r="BS17" s="2" t="s">
        <v>391</v>
      </c>
      <c r="BT17" s="2" t="s">
        <v>392</v>
      </c>
      <c r="BU17" s="2" t="s">
        <v>393</v>
      </c>
      <c r="BV17" s="2" t="s">
        <v>395</v>
      </c>
      <c r="BW17" s="2" t="s">
        <v>396</v>
      </c>
      <c r="BX17" s="2" t="s">
        <v>33</v>
      </c>
      <c r="BY17" s="2" t="s">
        <v>33</v>
      </c>
      <c r="BZ17" s="2" t="s">
        <v>33</v>
      </c>
      <c r="CA17" s="2" t="s">
        <v>33</v>
      </c>
      <c r="CB17" s="2" t="s">
        <v>33</v>
      </c>
      <c r="CC17" s="2" t="s">
        <v>1043</v>
      </c>
      <c r="CD17" s="2">
        <v>4.0</v>
      </c>
      <c r="CE17" s="2" t="s">
        <v>794</v>
      </c>
      <c r="CF17" s="2" t="s">
        <v>952</v>
      </c>
      <c r="CG17" s="2" t="s">
        <v>998</v>
      </c>
      <c r="CH17" s="2" t="s">
        <v>33</v>
      </c>
      <c r="CI17" s="2" t="s">
        <v>33</v>
      </c>
      <c r="CJ17" s="2" t="s">
        <v>33</v>
      </c>
      <c r="CK17" s="2" t="s">
        <v>859</v>
      </c>
      <c r="CL17" s="2" t="s">
        <v>466</v>
      </c>
      <c r="CM17" s="4">
        <v>45318.0</v>
      </c>
      <c r="CN17" s="4">
        <v>45321.0</v>
      </c>
      <c r="CO17" s="2">
        <v>4.0</v>
      </c>
      <c r="CP17" s="2" t="s">
        <v>529</v>
      </c>
      <c r="CQ17" s="2" t="s">
        <v>1025</v>
      </c>
      <c r="CR17" s="2" t="s">
        <v>442</v>
      </c>
      <c r="CS17" s="2" t="s">
        <v>529</v>
      </c>
      <c r="CT17" s="2" t="s">
        <v>368</v>
      </c>
      <c r="CU17" s="2" t="s">
        <v>1026</v>
      </c>
    </row>
    <row r="18" ht="12.75" customHeight="1">
      <c r="A18" s="2">
        <v>17.0</v>
      </c>
      <c r="B18" s="2">
        <v>3.0</v>
      </c>
      <c r="C18" s="2" t="s">
        <v>358</v>
      </c>
      <c r="D18" s="2" t="s">
        <v>359</v>
      </c>
      <c r="E18" s="2" t="s">
        <v>473</v>
      </c>
      <c r="F18" s="2" t="s">
        <v>539</v>
      </c>
      <c r="G18" s="2" t="s">
        <v>539</v>
      </c>
      <c r="H18" s="2" t="s">
        <v>540</v>
      </c>
      <c r="I18" s="2" t="s">
        <v>1051</v>
      </c>
      <c r="J18" s="2" t="s">
        <v>1051</v>
      </c>
      <c r="K18" s="2" t="s">
        <v>366</v>
      </c>
      <c r="L18" s="2" t="s">
        <v>1056</v>
      </c>
      <c r="M18" s="2" t="s">
        <v>368</v>
      </c>
      <c r="N18" s="2" t="s">
        <v>441</v>
      </c>
      <c r="O18" s="2" t="s">
        <v>442</v>
      </c>
      <c r="P18" s="2" t="s">
        <v>762</v>
      </c>
      <c r="Q18" s="2" t="s">
        <v>480</v>
      </c>
      <c r="R18" s="2" t="s">
        <v>480</v>
      </c>
      <c r="S18" s="2" t="s">
        <v>376</v>
      </c>
      <c r="T18" s="2" t="s">
        <v>376</v>
      </c>
      <c r="U18" s="2" t="s">
        <v>376</v>
      </c>
      <c r="V18" s="2" t="s">
        <v>376</v>
      </c>
      <c r="W18" s="2" t="s">
        <v>444</v>
      </c>
      <c r="X18" s="2" t="s">
        <v>444</v>
      </c>
      <c r="Y18" s="2" t="s">
        <v>444</v>
      </c>
      <c r="Z18" s="2" t="s">
        <v>444</v>
      </c>
      <c r="AA18" s="2" t="s">
        <v>382</v>
      </c>
      <c r="AB18" s="2" t="s">
        <v>490</v>
      </c>
      <c r="AC18" s="2" t="s">
        <v>450</v>
      </c>
      <c r="AD18" s="2" t="s">
        <v>452</v>
      </c>
      <c r="AE18" s="2" t="s">
        <v>387</v>
      </c>
      <c r="AF18" s="2" t="s">
        <v>388</v>
      </c>
      <c r="AG18" s="2" t="s">
        <v>454</v>
      </c>
      <c r="AH18" s="2" t="s">
        <v>455</v>
      </c>
      <c r="AI18" s="2" t="s">
        <v>33</v>
      </c>
      <c r="AJ18" s="2" t="s">
        <v>33</v>
      </c>
      <c r="AK18" s="2" t="s">
        <v>33</v>
      </c>
      <c r="AL18" s="2">
        <v>2.0</v>
      </c>
      <c r="AM18" s="2">
        <v>5.0</v>
      </c>
      <c r="AN18" s="2">
        <v>1.0</v>
      </c>
      <c r="AO18" s="2">
        <v>3.0</v>
      </c>
      <c r="AP18" s="2">
        <v>3.0</v>
      </c>
      <c r="AQ18" s="2">
        <v>2.0</v>
      </c>
      <c r="AR18" s="2">
        <v>3.0</v>
      </c>
      <c r="AS18" s="2">
        <v>5.0</v>
      </c>
      <c r="AT18" s="2">
        <v>4.0</v>
      </c>
      <c r="AU18" s="2">
        <v>3.0</v>
      </c>
      <c r="AV18" s="2">
        <v>3.0</v>
      </c>
      <c r="AW18" s="2">
        <v>3.0</v>
      </c>
      <c r="AX18" s="2">
        <v>3.0</v>
      </c>
      <c r="AY18" s="2">
        <v>3.0</v>
      </c>
      <c r="AZ18" s="2">
        <v>2.0</v>
      </c>
      <c r="BA18" s="2">
        <v>5.0</v>
      </c>
      <c r="BB18" s="2">
        <v>1.0</v>
      </c>
      <c r="BC18" s="2">
        <v>2.0</v>
      </c>
      <c r="BD18" s="2">
        <v>2.0</v>
      </c>
      <c r="BE18" s="2">
        <v>5.0</v>
      </c>
      <c r="BF18" s="2">
        <v>1.0</v>
      </c>
      <c r="BG18" s="2">
        <v>1.0</v>
      </c>
      <c r="BH18" s="2">
        <v>1.0</v>
      </c>
      <c r="BI18" s="2">
        <v>1.0</v>
      </c>
      <c r="BJ18" s="2">
        <v>1.0</v>
      </c>
      <c r="BK18" s="2">
        <v>1.0</v>
      </c>
      <c r="BL18" s="2">
        <v>1.0</v>
      </c>
      <c r="BM18" s="2">
        <v>1.0</v>
      </c>
      <c r="BN18" s="2">
        <v>5.0</v>
      </c>
      <c r="BO18" s="2">
        <v>1.0</v>
      </c>
      <c r="BP18" s="2">
        <v>1.0</v>
      </c>
      <c r="BQ18" s="2" t="s">
        <v>389</v>
      </c>
      <c r="BR18" s="2" t="s">
        <v>390</v>
      </c>
      <c r="BS18" s="2" t="s">
        <v>391</v>
      </c>
      <c r="BT18" s="2" t="s">
        <v>393</v>
      </c>
      <c r="BU18" s="2" t="s">
        <v>395</v>
      </c>
      <c r="BV18" s="2" t="s">
        <v>396</v>
      </c>
      <c r="BW18" s="2" t="s">
        <v>33</v>
      </c>
      <c r="BX18" s="2" t="s">
        <v>33</v>
      </c>
      <c r="BY18" s="2" t="s">
        <v>33</v>
      </c>
      <c r="BZ18" s="2" t="s">
        <v>33</v>
      </c>
      <c r="CA18" s="2" t="s">
        <v>33</v>
      </c>
      <c r="CB18" s="2" t="s">
        <v>33</v>
      </c>
      <c r="CC18" s="3" t="s">
        <v>1064</v>
      </c>
      <c r="CD18" s="2">
        <v>5.0</v>
      </c>
      <c r="CE18" s="2" t="s">
        <v>794</v>
      </c>
      <c r="CF18" s="2" t="s">
        <v>952</v>
      </c>
      <c r="CG18" s="2" t="s">
        <v>1019</v>
      </c>
      <c r="CH18" s="2" t="s">
        <v>999</v>
      </c>
      <c r="CI18" s="2" t="s">
        <v>33</v>
      </c>
      <c r="CJ18" s="2" t="s">
        <v>33</v>
      </c>
      <c r="CK18" s="2" t="s">
        <v>1051</v>
      </c>
      <c r="CL18" s="2" t="s">
        <v>466</v>
      </c>
      <c r="CM18" s="4">
        <v>45318.0</v>
      </c>
      <c r="CN18" s="4">
        <v>45322.0</v>
      </c>
      <c r="CO18" s="2">
        <v>5.0</v>
      </c>
      <c r="CP18" s="2" t="s">
        <v>529</v>
      </c>
      <c r="CQ18" s="2" t="s">
        <v>441</v>
      </c>
      <c r="CR18" s="2" t="s">
        <v>442</v>
      </c>
      <c r="CS18" s="2" t="s">
        <v>529</v>
      </c>
      <c r="CT18" s="2" t="s">
        <v>368</v>
      </c>
      <c r="CU18" s="2" t="s">
        <v>762</v>
      </c>
    </row>
    <row r="19" ht="12.75" customHeight="1">
      <c r="A19" s="2">
        <v>18.0</v>
      </c>
      <c r="B19" s="2">
        <v>4.0</v>
      </c>
      <c r="C19" s="2" t="s">
        <v>358</v>
      </c>
      <c r="D19" s="2" t="s">
        <v>359</v>
      </c>
      <c r="E19" s="2" t="s">
        <v>360</v>
      </c>
      <c r="F19" s="2" t="s">
        <v>539</v>
      </c>
      <c r="G19" s="2" t="s">
        <v>539</v>
      </c>
      <c r="H19" s="2" t="s">
        <v>362</v>
      </c>
      <c r="I19" s="2" t="s">
        <v>1072</v>
      </c>
      <c r="J19" s="2" t="s">
        <v>599</v>
      </c>
      <c r="K19" s="2" t="s">
        <v>366</v>
      </c>
      <c r="L19" s="2" t="s">
        <v>599</v>
      </c>
      <c r="M19" s="2" t="s">
        <v>645</v>
      </c>
      <c r="N19" s="2" t="s">
        <v>441</v>
      </c>
      <c r="O19" s="2" t="s">
        <v>370</v>
      </c>
      <c r="P19" s="2" t="s">
        <v>762</v>
      </c>
      <c r="Q19" s="2" t="s">
        <v>480</v>
      </c>
      <c r="R19" s="2" t="s">
        <v>480</v>
      </c>
      <c r="S19" s="2" t="s">
        <v>378</v>
      </c>
      <c r="T19" s="2" t="s">
        <v>378</v>
      </c>
      <c r="U19" s="2" t="s">
        <v>376</v>
      </c>
      <c r="V19" s="2" t="s">
        <v>376</v>
      </c>
      <c r="W19" s="2" t="s">
        <v>444</v>
      </c>
      <c r="X19" s="2" t="s">
        <v>376</v>
      </c>
      <c r="Y19" s="2" t="s">
        <v>444</v>
      </c>
      <c r="Z19" s="2" t="s">
        <v>444</v>
      </c>
      <c r="AA19" s="2" t="s">
        <v>986</v>
      </c>
      <c r="AB19" s="2" t="s">
        <v>359</v>
      </c>
      <c r="AC19" s="2" t="s">
        <v>552</v>
      </c>
      <c r="AD19" s="2" t="s">
        <v>452</v>
      </c>
      <c r="AE19" s="2" t="s">
        <v>388</v>
      </c>
      <c r="AF19" s="2" t="s">
        <v>455</v>
      </c>
      <c r="AG19" s="2" t="s">
        <v>33</v>
      </c>
      <c r="AH19" s="2" t="s">
        <v>33</v>
      </c>
      <c r="AI19" s="2" t="s">
        <v>33</v>
      </c>
      <c r="AJ19" s="2" t="s">
        <v>33</v>
      </c>
      <c r="AK19" s="2" t="s">
        <v>33</v>
      </c>
      <c r="AL19" s="2">
        <v>1.0</v>
      </c>
      <c r="AM19" s="2">
        <v>1.0</v>
      </c>
      <c r="AN19" s="2">
        <v>1.0</v>
      </c>
      <c r="AO19" s="2">
        <v>4.0</v>
      </c>
      <c r="AP19" s="2">
        <v>4.0</v>
      </c>
      <c r="AQ19" s="2">
        <v>1.0</v>
      </c>
      <c r="AR19" s="2">
        <v>2.0</v>
      </c>
      <c r="AS19" s="2">
        <v>2.0</v>
      </c>
      <c r="AT19" s="2">
        <v>2.0</v>
      </c>
      <c r="AU19" s="2">
        <v>3.0</v>
      </c>
      <c r="AV19" s="2">
        <v>5.0</v>
      </c>
      <c r="AW19" s="2">
        <v>5.0</v>
      </c>
      <c r="AX19" s="2">
        <v>3.0</v>
      </c>
      <c r="AY19" s="2">
        <v>3.0</v>
      </c>
      <c r="AZ19" s="2">
        <v>2.0</v>
      </c>
      <c r="BA19" s="2">
        <v>4.0</v>
      </c>
      <c r="BB19" s="2">
        <v>1.0</v>
      </c>
      <c r="BC19" s="2">
        <v>4.0</v>
      </c>
      <c r="BD19" s="2">
        <v>4.0</v>
      </c>
      <c r="BE19" s="2">
        <v>3.0</v>
      </c>
      <c r="BF19" s="2">
        <v>2.0</v>
      </c>
      <c r="BG19" s="2">
        <v>1.0</v>
      </c>
      <c r="BH19" s="2">
        <v>1.0</v>
      </c>
      <c r="BI19" s="2">
        <v>1.0</v>
      </c>
      <c r="BJ19" s="2">
        <v>5.0</v>
      </c>
      <c r="BK19" s="2">
        <v>1.0</v>
      </c>
      <c r="BL19" s="2">
        <v>1.0</v>
      </c>
      <c r="BM19" s="2">
        <v>1.0</v>
      </c>
      <c r="BN19" s="2">
        <v>4.0</v>
      </c>
      <c r="BO19" s="2">
        <v>1.0</v>
      </c>
      <c r="BP19" s="2">
        <v>2.0</v>
      </c>
      <c r="BQ19" s="2" t="s">
        <v>568</v>
      </c>
      <c r="BR19" s="2" t="s">
        <v>389</v>
      </c>
      <c r="BS19" s="2" t="s">
        <v>390</v>
      </c>
      <c r="BT19" s="2" t="s">
        <v>391</v>
      </c>
      <c r="BU19" s="2" t="s">
        <v>393</v>
      </c>
      <c r="BV19" s="2" t="s">
        <v>395</v>
      </c>
      <c r="BW19" s="2" t="s">
        <v>396</v>
      </c>
      <c r="BX19" s="2" t="s">
        <v>33</v>
      </c>
      <c r="BY19" s="2" t="s">
        <v>33</v>
      </c>
      <c r="BZ19" s="2" t="s">
        <v>33</v>
      </c>
      <c r="CA19" s="2" t="s">
        <v>33</v>
      </c>
      <c r="CB19" s="2" t="s">
        <v>33</v>
      </c>
      <c r="CC19" s="2" t="s">
        <v>1082</v>
      </c>
      <c r="CD19" s="2">
        <v>5.0</v>
      </c>
      <c r="CE19" s="2" t="s">
        <v>794</v>
      </c>
      <c r="CF19" s="2" t="s">
        <v>952</v>
      </c>
      <c r="CG19" s="2" t="s">
        <v>1083</v>
      </c>
      <c r="CH19" s="2" t="s">
        <v>1019</v>
      </c>
      <c r="CI19" s="2" t="s">
        <v>999</v>
      </c>
      <c r="CJ19" s="2" t="s">
        <v>33</v>
      </c>
      <c r="CK19" s="2" t="s">
        <v>1072</v>
      </c>
      <c r="CL19" s="2" t="s">
        <v>466</v>
      </c>
      <c r="CM19" s="4">
        <v>45308.0</v>
      </c>
      <c r="CN19" s="4">
        <v>45313.0</v>
      </c>
      <c r="CO19" s="2">
        <v>6.0</v>
      </c>
      <c r="CP19" s="2" t="s">
        <v>529</v>
      </c>
      <c r="CQ19" s="2" t="s">
        <v>441</v>
      </c>
      <c r="CR19" s="2" t="s">
        <v>370</v>
      </c>
      <c r="CS19" s="2" t="s">
        <v>529</v>
      </c>
      <c r="CT19" s="2" t="s">
        <v>645</v>
      </c>
      <c r="CU19" s="2" t="s">
        <v>762</v>
      </c>
    </row>
    <row r="20" ht="12.75" customHeight="1">
      <c r="A20" s="2">
        <v>19.0</v>
      </c>
      <c r="B20" s="2">
        <v>3.0</v>
      </c>
      <c r="C20" s="2" t="s">
        <v>358</v>
      </c>
      <c r="D20" s="2" t="s">
        <v>359</v>
      </c>
      <c r="E20" s="2" t="s">
        <v>360</v>
      </c>
      <c r="F20" s="2" t="s">
        <v>437</v>
      </c>
      <c r="G20" s="2" t="s">
        <v>437</v>
      </c>
      <c r="H20" s="2" t="s">
        <v>540</v>
      </c>
      <c r="I20" s="2" t="s">
        <v>859</v>
      </c>
      <c r="J20" s="2" t="s">
        <v>599</v>
      </c>
      <c r="K20" s="2" t="s">
        <v>366</v>
      </c>
      <c r="L20" s="2" t="s">
        <v>599</v>
      </c>
      <c r="M20" s="2" t="s">
        <v>368</v>
      </c>
      <c r="N20" s="2" t="s">
        <v>802</v>
      </c>
      <c r="O20" s="2" t="s">
        <v>442</v>
      </c>
      <c r="P20" s="2" t="s">
        <v>372</v>
      </c>
      <c r="Q20" s="2" t="s">
        <v>606</v>
      </c>
      <c r="R20" s="2" t="s">
        <v>1090</v>
      </c>
      <c r="S20" s="2" t="s">
        <v>378</v>
      </c>
      <c r="T20" s="2" t="s">
        <v>378</v>
      </c>
      <c r="U20" s="2" t="s">
        <v>378</v>
      </c>
      <c r="V20" s="2" t="s">
        <v>378</v>
      </c>
      <c r="W20" s="2" t="s">
        <v>444</v>
      </c>
      <c r="X20" s="2" t="s">
        <v>444</v>
      </c>
      <c r="Y20" s="2" t="s">
        <v>444</v>
      </c>
      <c r="Z20" s="2" t="s">
        <v>376</v>
      </c>
      <c r="AA20" s="2" t="s">
        <v>382</v>
      </c>
      <c r="AB20" s="2" t="s">
        <v>359</v>
      </c>
      <c r="AC20" s="2" t="s">
        <v>1094</v>
      </c>
      <c r="AD20" s="2" t="s">
        <v>388</v>
      </c>
      <c r="AE20" s="2" t="s">
        <v>454</v>
      </c>
      <c r="AF20" s="2" t="s">
        <v>455</v>
      </c>
      <c r="AG20" s="2" t="s">
        <v>33</v>
      </c>
      <c r="AH20" s="2" t="s">
        <v>33</v>
      </c>
      <c r="AI20" s="2" t="s">
        <v>33</v>
      </c>
      <c r="AJ20" s="2" t="s">
        <v>33</v>
      </c>
      <c r="AK20" s="2" t="s">
        <v>33</v>
      </c>
      <c r="AL20" s="2">
        <v>1.0</v>
      </c>
      <c r="AM20" s="2">
        <v>5.0</v>
      </c>
      <c r="AN20" s="2">
        <v>1.0</v>
      </c>
      <c r="AO20" s="2">
        <v>2.0</v>
      </c>
      <c r="AP20" s="2">
        <v>3.0</v>
      </c>
      <c r="AQ20" s="2">
        <v>1.0</v>
      </c>
      <c r="AR20" s="2">
        <v>2.0</v>
      </c>
      <c r="AS20" s="2">
        <v>3.0</v>
      </c>
      <c r="AT20" s="2">
        <v>1.0</v>
      </c>
      <c r="AU20" s="2">
        <v>2.0</v>
      </c>
      <c r="AV20" s="2">
        <v>5.0</v>
      </c>
      <c r="AW20" s="2">
        <v>5.0</v>
      </c>
      <c r="AX20" s="2">
        <v>1.0</v>
      </c>
      <c r="AY20" s="2">
        <v>2.0</v>
      </c>
      <c r="AZ20" s="2">
        <v>3.0</v>
      </c>
      <c r="BA20" s="2">
        <v>5.0</v>
      </c>
      <c r="BB20" s="2">
        <v>3.0</v>
      </c>
      <c r="BC20" s="2">
        <v>4.0</v>
      </c>
      <c r="BD20" s="2">
        <v>1.0</v>
      </c>
      <c r="BE20" s="2">
        <v>5.0</v>
      </c>
      <c r="BF20" s="2">
        <v>1.0</v>
      </c>
      <c r="BG20" s="2">
        <v>1.0</v>
      </c>
      <c r="BH20" s="2">
        <v>1.0</v>
      </c>
      <c r="BI20" s="2">
        <v>1.0</v>
      </c>
      <c r="BJ20" s="2">
        <v>1.0</v>
      </c>
      <c r="BK20" s="2">
        <v>1.0</v>
      </c>
      <c r="BL20" s="2">
        <v>1.0</v>
      </c>
      <c r="BM20" s="2">
        <v>1.0</v>
      </c>
      <c r="BN20" s="2">
        <v>5.0</v>
      </c>
      <c r="BO20" s="2">
        <v>1.0</v>
      </c>
      <c r="BP20" s="2">
        <v>5.0</v>
      </c>
      <c r="BQ20" s="2" t="s">
        <v>389</v>
      </c>
      <c r="BR20" s="2" t="s">
        <v>390</v>
      </c>
      <c r="BS20" s="2" t="s">
        <v>391</v>
      </c>
      <c r="BT20" s="2" t="s">
        <v>392</v>
      </c>
      <c r="BU20" s="2" t="s">
        <v>393</v>
      </c>
      <c r="BV20" s="2" t="s">
        <v>394</v>
      </c>
      <c r="BW20" s="2" t="s">
        <v>519</v>
      </c>
      <c r="BX20" s="2" t="s">
        <v>396</v>
      </c>
      <c r="BY20" s="2" t="s">
        <v>730</v>
      </c>
      <c r="BZ20" s="2" t="s">
        <v>33</v>
      </c>
      <c r="CA20" s="2" t="s">
        <v>33</v>
      </c>
      <c r="CB20" s="2" t="s">
        <v>33</v>
      </c>
      <c r="CC20" s="2" t="s">
        <v>1100</v>
      </c>
      <c r="CD20" s="2">
        <v>6.0</v>
      </c>
      <c r="CE20" s="2" t="s">
        <v>794</v>
      </c>
      <c r="CF20" s="2" t="s">
        <v>952</v>
      </c>
      <c r="CG20" s="2" t="s">
        <v>1083</v>
      </c>
      <c r="CH20" s="2" t="s">
        <v>998</v>
      </c>
      <c r="CI20" s="2" t="s">
        <v>999</v>
      </c>
      <c r="CJ20" s="2" t="s">
        <v>33</v>
      </c>
      <c r="CK20" s="2" t="s">
        <v>859</v>
      </c>
      <c r="CL20" s="2" t="s">
        <v>466</v>
      </c>
      <c r="CM20" s="4">
        <v>45315.0</v>
      </c>
      <c r="CN20" s="4">
        <v>45320.0</v>
      </c>
      <c r="CO20" s="2">
        <v>6.0</v>
      </c>
      <c r="CP20" s="2" t="s">
        <v>434</v>
      </c>
      <c r="CQ20" s="2" t="s">
        <v>802</v>
      </c>
      <c r="CR20" s="2" t="s">
        <v>442</v>
      </c>
      <c r="CS20" s="2" t="s">
        <v>434</v>
      </c>
      <c r="CT20" s="2" t="s">
        <v>368</v>
      </c>
      <c r="CU20" s="2" t="s">
        <v>372</v>
      </c>
    </row>
    <row r="21" ht="12.75" customHeight="1">
      <c r="A21" s="2">
        <v>20.0</v>
      </c>
      <c r="B21" s="2">
        <v>4.0</v>
      </c>
      <c r="C21" s="2" t="s">
        <v>358</v>
      </c>
      <c r="D21" s="2" t="s">
        <v>359</v>
      </c>
      <c r="E21" s="2" t="s">
        <v>360</v>
      </c>
      <c r="F21" s="2" t="s">
        <v>361</v>
      </c>
      <c r="G21" s="2" t="s">
        <v>361</v>
      </c>
      <c r="H21" s="2" t="s">
        <v>540</v>
      </c>
      <c r="I21" s="2" t="s">
        <v>363</v>
      </c>
      <c r="J21" s="2" t="s">
        <v>365</v>
      </c>
      <c r="K21" s="2" t="s">
        <v>366</v>
      </c>
      <c r="L21" s="2" t="s">
        <v>367</v>
      </c>
      <c r="M21" s="2" t="s">
        <v>645</v>
      </c>
      <c r="N21" s="2" t="s">
        <v>441</v>
      </c>
      <c r="O21" s="2" t="s">
        <v>442</v>
      </c>
      <c r="P21" s="2" t="s">
        <v>1026</v>
      </c>
      <c r="Q21" s="2" t="s">
        <v>361</v>
      </c>
      <c r="R21" s="2" t="s">
        <v>361</v>
      </c>
      <c r="S21" s="2" t="s">
        <v>378</v>
      </c>
      <c r="T21" s="2" t="s">
        <v>376</v>
      </c>
      <c r="U21" s="2" t="s">
        <v>376</v>
      </c>
      <c r="V21" s="2" t="s">
        <v>376</v>
      </c>
      <c r="W21" s="2" t="s">
        <v>376</v>
      </c>
      <c r="X21" s="2" t="s">
        <v>444</v>
      </c>
      <c r="Y21" s="2" t="s">
        <v>444</v>
      </c>
      <c r="Z21" s="2" t="s">
        <v>444</v>
      </c>
      <c r="AA21" s="2" t="s">
        <v>382</v>
      </c>
      <c r="AB21" s="2" t="s">
        <v>1112</v>
      </c>
      <c r="AC21" s="2" t="s">
        <v>806</v>
      </c>
      <c r="AD21" s="2" t="s">
        <v>33</v>
      </c>
      <c r="AE21" s="2" t="s">
        <v>33</v>
      </c>
      <c r="AF21" s="2" t="s">
        <v>33</v>
      </c>
      <c r="AG21" s="2" t="s">
        <v>33</v>
      </c>
      <c r="AH21" s="2" t="s">
        <v>33</v>
      </c>
      <c r="AI21" s="2" t="s">
        <v>33</v>
      </c>
      <c r="AJ21" s="2" t="s">
        <v>33</v>
      </c>
      <c r="AK21" s="2" t="s">
        <v>33</v>
      </c>
      <c r="AL21" s="2">
        <v>4.0</v>
      </c>
      <c r="AM21" s="2">
        <v>4.0</v>
      </c>
      <c r="AN21" s="2">
        <v>2.0</v>
      </c>
      <c r="AO21" s="2">
        <v>4.0</v>
      </c>
      <c r="AP21" s="2">
        <v>4.0</v>
      </c>
      <c r="AQ21" s="2">
        <v>1.0</v>
      </c>
      <c r="AR21" s="2">
        <v>4.0</v>
      </c>
      <c r="AS21" s="2">
        <v>4.0</v>
      </c>
      <c r="AT21" s="2">
        <v>2.0</v>
      </c>
      <c r="AU21" s="2">
        <v>3.0</v>
      </c>
      <c r="AV21" s="2">
        <v>4.0</v>
      </c>
      <c r="AW21" s="2">
        <v>4.0</v>
      </c>
      <c r="AX21" s="2">
        <v>1.0</v>
      </c>
      <c r="AY21" s="2">
        <v>1.0</v>
      </c>
      <c r="AZ21" s="2">
        <v>1.0</v>
      </c>
      <c r="BA21" s="2">
        <v>1.0</v>
      </c>
      <c r="BB21" s="2">
        <v>1.0</v>
      </c>
      <c r="BC21" s="2">
        <v>1.0</v>
      </c>
      <c r="BD21" s="2">
        <v>1.0</v>
      </c>
      <c r="BE21" s="2">
        <v>4.0</v>
      </c>
      <c r="BF21" s="2">
        <v>1.0</v>
      </c>
      <c r="BG21" s="2">
        <v>1.0</v>
      </c>
      <c r="BH21" s="2">
        <v>4.0</v>
      </c>
      <c r="BI21" s="2">
        <v>1.0</v>
      </c>
      <c r="BJ21" s="2">
        <v>4.0</v>
      </c>
      <c r="BK21" s="2">
        <v>1.0</v>
      </c>
      <c r="BL21" s="2">
        <v>1.0</v>
      </c>
      <c r="BM21" s="2">
        <v>1.0</v>
      </c>
      <c r="BN21" s="2">
        <v>1.0</v>
      </c>
      <c r="BO21" s="2">
        <v>1.0</v>
      </c>
      <c r="BP21" s="2">
        <v>1.0</v>
      </c>
      <c r="BQ21" s="2" t="s">
        <v>389</v>
      </c>
      <c r="BR21" s="2" t="s">
        <v>390</v>
      </c>
      <c r="BS21" s="2" t="s">
        <v>391</v>
      </c>
      <c r="BT21" s="2" t="s">
        <v>393</v>
      </c>
      <c r="BU21" s="2" t="s">
        <v>396</v>
      </c>
      <c r="BV21" s="2" t="s">
        <v>33</v>
      </c>
      <c r="BW21" s="2" t="s">
        <v>33</v>
      </c>
      <c r="BX21" s="2" t="s">
        <v>33</v>
      </c>
      <c r="BY21" s="2" t="s">
        <v>33</v>
      </c>
      <c r="BZ21" s="2" t="s">
        <v>33</v>
      </c>
      <c r="CA21" s="2" t="s">
        <v>33</v>
      </c>
      <c r="CB21" s="2" t="s">
        <v>33</v>
      </c>
      <c r="CC21" s="2" t="s">
        <v>1129</v>
      </c>
      <c r="CD21" s="2">
        <v>3.0</v>
      </c>
      <c r="CE21" s="2" t="s">
        <v>899</v>
      </c>
      <c r="CF21" s="2" t="s">
        <v>33</v>
      </c>
      <c r="CG21" s="2" t="s">
        <v>33</v>
      </c>
      <c r="CH21" s="2" t="s">
        <v>33</v>
      </c>
      <c r="CI21" s="2" t="s">
        <v>33</v>
      </c>
      <c r="CJ21" s="2" t="s">
        <v>33</v>
      </c>
      <c r="CK21" s="2" t="s">
        <v>425</v>
      </c>
      <c r="CL21" s="2" t="s">
        <v>367</v>
      </c>
      <c r="CM21" s="4">
        <v>45318.0</v>
      </c>
      <c r="CN21" s="4">
        <v>45318.0</v>
      </c>
      <c r="CO21" s="2">
        <v>1.0</v>
      </c>
      <c r="CP21" s="2" t="s">
        <v>434</v>
      </c>
      <c r="CQ21" s="2" t="s">
        <v>441</v>
      </c>
      <c r="CR21" s="2" t="s">
        <v>442</v>
      </c>
      <c r="CS21" s="2" t="s">
        <v>434</v>
      </c>
      <c r="CT21" s="2" t="s">
        <v>645</v>
      </c>
      <c r="CU21" s="2" t="s">
        <v>1026</v>
      </c>
    </row>
    <row r="22" ht="12.75" customHeight="1">
      <c r="A22" s="2">
        <v>21.0</v>
      </c>
      <c r="B22" s="2">
        <v>2.0</v>
      </c>
      <c r="C22" s="2" t="s">
        <v>358</v>
      </c>
      <c r="D22" s="2" t="s">
        <v>359</v>
      </c>
      <c r="E22" s="2" t="s">
        <v>801</v>
      </c>
      <c r="F22" s="2" t="s">
        <v>437</v>
      </c>
      <c r="G22" s="2" t="s">
        <v>437</v>
      </c>
      <c r="H22" s="2" t="s">
        <v>540</v>
      </c>
      <c r="I22" s="2" t="s">
        <v>438</v>
      </c>
      <c r="J22" s="2" t="s">
        <v>438</v>
      </c>
      <c r="K22" s="2" t="s">
        <v>366</v>
      </c>
      <c r="L22" s="2" t="s">
        <v>440</v>
      </c>
      <c r="M22" s="2" t="s">
        <v>645</v>
      </c>
      <c r="N22" s="2" t="s">
        <v>802</v>
      </c>
      <c r="O22" s="2" t="s">
        <v>370</v>
      </c>
      <c r="P22" s="2" t="s">
        <v>762</v>
      </c>
      <c r="Q22" s="2" t="s">
        <v>480</v>
      </c>
      <c r="R22" s="2" t="s">
        <v>480</v>
      </c>
      <c r="S22" s="2" t="s">
        <v>444</v>
      </c>
      <c r="T22" s="2" t="s">
        <v>376</v>
      </c>
      <c r="U22" s="2" t="s">
        <v>376</v>
      </c>
      <c r="V22" s="2" t="s">
        <v>376</v>
      </c>
      <c r="W22" s="2" t="s">
        <v>444</v>
      </c>
      <c r="X22" s="2" t="s">
        <v>378</v>
      </c>
      <c r="Y22" s="2" t="s">
        <v>378</v>
      </c>
      <c r="Z22" s="2" t="s">
        <v>444</v>
      </c>
      <c r="AA22" s="2" t="s">
        <v>986</v>
      </c>
      <c r="AB22" s="2" t="s">
        <v>490</v>
      </c>
      <c r="AC22" s="2" t="s">
        <v>1141</v>
      </c>
      <c r="AD22" s="2" t="s">
        <v>33</v>
      </c>
      <c r="AE22" s="2" t="s">
        <v>33</v>
      </c>
      <c r="AF22" s="2" t="s">
        <v>33</v>
      </c>
      <c r="AG22" s="2" t="s">
        <v>33</v>
      </c>
      <c r="AH22" s="2" t="s">
        <v>33</v>
      </c>
      <c r="AI22" s="2" t="s">
        <v>33</v>
      </c>
      <c r="AJ22" s="2" t="s">
        <v>33</v>
      </c>
      <c r="AK22" s="2" t="s">
        <v>33</v>
      </c>
      <c r="AL22" s="2">
        <v>1.0</v>
      </c>
      <c r="AM22" s="2">
        <v>4.0</v>
      </c>
      <c r="AN22" s="2">
        <v>2.0</v>
      </c>
      <c r="AO22" s="2">
        <v>2.0</v>
      </c>
      <c r="AP22" s="2">
        <v>2.0</v>
      </c>
      <c r="AQ22" s="2">
        <v>2.0</v>
      </c>
      <c r="AR22" s="2">
        <v>2.0</v>
      </c>
      <c r="AS22" s="2">
        <v>2.0</v>
      </c>
      <c r="AT22" s="2">
        <v>2.0</v>
      </c>
      <c r="AU22" s="2">
        <v>2.0</v>
      </c>
      <c r="AV22" s="2">
        <v>3.0</v>
      </c>
      <c r="AW22" s="2">
        <v>1.0</v>
      </c>
      <c r="AX22" s="2">
        <v>1.0</v>
      </c>
      <c r="AY22" s="2">
        <v>1.0</v>
      </c>
      <c r="AZ22" s="2">
        <v>2.0</v>
      </c>
      <c r="BA22" s="2">
        <v>1.0</v>
      </c>
      <c r="BB22" s="2">
        <v>1.0</v>
      </c>
      <c r="BC22" s="2">
        <v>1.0</v>
      </c>
      <c r="BD22" s="2">
        <v>1.0</v>
      </c>
      <c r="BE22" s="2">
        <v>4.0</v>
      </c>
      <c r="BF22" s="2">
        <v>1.0</v>
      </c>
      <c r="BG22" s="2">
        <v>1.0</v>
      </c>
      <c r="BH22" s="2">
        <v>1.0</v>
      </c>
      <c r="BI22" s="2">
        <v>1.0</v>
      </c>
      <c r="BJ22" s="2">
        <v>1.0</v>
      </c>
      <c r="BK22" s="2">
        <v>1.0</v>
      </c>
      <c r="BL22" s="2">
        <v>1.0</v>
      </c>
      <c r="BM22" s="2">
        <v>1.0</v>
      </c>
      <c r="BN22" s="2">
        <v>3.0</v>
      </c>
      <c r="BO22" s="2">
        <v>1.0</v>
      </c>
      <c r="BP22" s="2">
        <v>2.0</v>
      </c>
      <c r="BQ22" s="2" t="s">
        <v>393</v>
      </c>
      <c r="BR22" s="2" t="s">
        <v>33</v>
      </c>
      <c r="BS22" s="2" t="s">
        <v>33</v>
      </c>
      <c r="BT22" s="2" t="s">
        <v>33</v>
      </c>
      <c r="BU22" s="2" t="s">
        <v>33</v>
      </c>
      <c r="BV22" s="2" t="s">
        <v>33</v>
      </c>
      <c r="BW22" s="2" t="s">
        <v>33</v>
      </c>
      <c r="BX22" s="2" t="s">
        <v>33</v>
      </c>
      <c r="BY22" s="2" t="s">
        <v>33</v>
      </c>
      <c r="BZ22" s="2" t="s">
        <v>33</v>
      </c>
      <c r="CA22" s="2" t="s">
        <v>33</v>
      </c>
      <c r="CB22" s="2" t="s">
        <v>33</v>
      </c>
      <c r="CC22" s="2" t="s">
        <v>1149</v>
      </c>
      <c r="CD22" s="2">
        <v>5.0</v>
      </c>
      <c r="CE22" s="2" t="s">
        <v>33</v>
      </c>
      <c r="CF22" s="2" t="s">
        <v>33</v>
      </c>
      <c r="CG22" s="2" t="s">
        <v>33</v>
      </c>
      <c r="CH22" s="2" t="s">
        <v>999</v>
      </c>
      <c r="CI22" s="2" t="s">
        <v>33</v>
      </c>
      <c r="CJ22" s="2" t="s">
        <v>33</v>
      </c>
      <c r="CK22" s="2" t="s">
        <v>438</v>
      </c>
      <c r="CL22" s="2" t="s">
        <v>466</v>
      </c>
      <c r="CM22" s="4">
        <v>45323.0</v>
      </c>
      <c r="CN22" s="4">
        <v>45327.0</v>
      </c>
      <c r="CO22" s="2">
        <v>5.0</v>
      </c>
      <c r="CP22" s="2" t="s">
        <v>529</v>
      </c>
      <c r="CQ22" s="2" t="s">
        <v>802</v>
      </c>
      <c r="CR22" s="2" t="s">
        <v>370</v>
      </c>
      <c r="CS22" s="2" t="s">
        <v>529</v>
      </c>
      <c r="CT22" s="2" t="s">
        <v>645</v>
      </c>
      <c r="CU22" s="2" t="s">
        <v>762</v>
      </c>
    </row>
    <row r="23" ht="12.75" customHeight="1">
      <c r="A23" s="2">
        <v>22.0</v>
      </c>
      <c r="B23" s="2">
        <v>2.0</v>
      </c>
      <c r="C23" s="2" t="s">
        <v>358</v>
      </c>
      <c r="D23" s="2" t="s">
        <v>359</v>
      </c>
      <c r="E23" s="2" t="s">
        <v>473</v>
      </c>
      <c r="F23" s="2" t="s">
        <v>437</v>
      </c>
      <c r="G23" s="2" t="s">
        <v>437</v>
      </c>
      <c r="H23" s="2" t="s">
        <v>362</v>
      </c>
      <c r="I23" s="2" t="s">
        <v>859</v>
      </c>
      <c r="J23" s="2" t="s">
        <v>599</v>
      </c>
      <c r="K23" s="2" t="s">
        <v>366</v>
      </c>
      <c r="L23" s="2" t="s">
        <v>599</v>
      </c>
      <c r="M23" s="2" t="s">
        <v>368</v>
      </c>
      <c r="N23" s="2" t="s">
        <v>441</v>
      </c>
      <c r="O23" s="2" t="s">
        <v>442</v>
      </c>
      <c r="P23" s="2" t="s">
        <v>372</v>
      </c>
      <c r="Q23" s="2" t="s">
        <v>480</v>
      </c>
      <c r="R23" s="2" t="s">
        <v>480</v>
      </c>
      <c r="S23" s="2" t="s">
        <v>376</v>
      </c>
      <c r="T23" s="2" t="s">
        <v>378</v>
      </c>
      <c r="U23" s="2" t="s">
        <v>378</v>
      </c>
      <c r="V23" s="2" t="s">
        <v>378</v>
      </c>
      <c r="W23" s="2" t="s">
        <v>444</v>
      </c>
      <c r="X23" s="2" t="s">
        <v>378</v>
      </c>
      <c r="Y23" s="2" t="s">
        <v>378</v>
      </c>
      <c r="Z23" s="2" t="s">
        <v>378</v>
      </c>
      <c r="AA23" s="2" t="s">
        <v>1031</v>
      </c>
      <c r="AB23" s="2" t="s">
        <v>359</v>
      </c>
      <c r="AC23" s="2" t="s">
        <v>1094</v>
      </c>
      <c r="AD23" s="2" t="s">
        <v>455</v>
      </c>
      <c r="AE23" s="2" t="s">
        <v>33</v>
      </c>
      <c r="AF23" s="2" t="s">
        <v>33</v>
      </c>
      <c r="AG23" s="2" t="s">
        <v>33</v>
      </c>
      <c r="AH23" s="2" t="s">
        <v>33</v>
      </c>
      <c r="AI23" s="2" t="s">
        <v>33</v>
      </c>
      <c r="AJ23" s="2" t="s">
        <v>33</v>
      </c>
      <c r="AK23" s="2" t="s">
        <v>33</v>
      </c>
      <c r="AL23" s="2">
        <v>1.0</v>
      </c>
      <c r="AM23" s="2">
        <v>4.0</v>
      </c>
      <c r="AN23" s="2">
        <v>1.0</v>
      </c>
      <c r="AO23" s="2">
        <v>4.0</v>
      </c>
      <c r="AP23" s="2">
        <v>3.0</v>
      </c>
      <c r="AQ23" s="2">
        <v>1.0</v>
      </c>
      <c r="AR23" s="2">
        <v>2.0</v>
      </c>
      <c r="AS23" s="2">
        <v>2.0</v>
      </c>
      <c r="AT23" s="2">
        <v>2.0</v>
      </c>
      <c r="AU23" s="2">
        <v>3.0</v>
      </c>
      <c r="AV23" s="2">
        <v>3.0</v>
      </c>
      <c r="AW23" s="2">
        <v>3.0</v>
      </c>
      <c r="AX23" s="2">
        <v>1.0</v>
      </c>
      <c r="AY23" s="2">
        <v>2.0</v>
      </c>
      <c r="AZ23" s="2">
        <v>1.0</v>
      </c>
      <c r="BA23" s="2">
        <v>3.0</v>
      </c>
      <c r="BB23" s="2">
        <v>1.0</v>
      </c>
      <c r="BC23" s="2">
        <v>1.0</v>
      </c>
      <c r="BD23" s="2">
        <v>1.0</v>
      </c>
      <c r="BE23" s="2">
        <v>3.0</v>
      </c>
      <c r="BF23" s="2">
        <v>2.0</v>
      </c>
      <c r="BG23" s="2">
        <v>1.0</v>
      </c>
      <c r="BH23" s="2">
        <v>3.0</v>
      </c>
      <c r="BI23" s="2">
        <v>1.0</v>
      </c>
      <c r="BJ23" s="2">
        <v>1.0</v>
      </c>
      <c r="BK23" s="2">
        <v>1.0</v>
      </c>
      <c r="BL23" s="2">
        <v>1.0</v>
      </c>
      <c r="BM23" s="2">
        <v>1.0</v>
      </c>
      <c r="BN23" s="2">
        <v>4.0</v>
      </c>
      <c r="BO23" s="2">
        <v>1.0</v>
      </c>
      <c r="BP23" s="2">
        <v>1.0</v>
      </c>
      <c r="BQ23" s="2" t="s">
        <v>568</v>
      </c>
      <c r="BR23" s="2" t="s">
        <v>390</v>
      </c>
      <c r="BS23" s="2" t="s">
        <v>392</v>
      </c>
      <c r="BT23" s="2" t="s">
        <v>395</v>
      </c>
      <c r="BU23" s="2" t="s">
        <v>396</v>
      </c>
      <c r="BV23" s="2" t="s">
        <v>33</v>
      </c>
      <c r="BW23" s="2" t="s">
        <v>33</v>
      </c>
      <c r="BX23" s="2" t="s">
        <v>33</v>
      </c>
      <c r="BY23" s="2" t="s">
        <v>33</v>
      </c>
      <c r="BZ23" s="2" t="s">
        <v>33</v>
      </c>
      <c r="CA23" s="2" t="s">
        <v>33</v>
      </c>
      <c r="CB23" s="2" t="s">
        <v>33</v>
      </c>
      <c r="CC23" s="2" t="s">
        <v>1171</v>
      </c>
      <c r="CD23" s="2">
        <v>3.0</v>
      </c>
      <c r="CE23" s="2" t="s">
        <v>1172</v>
      </c>
      <c r="CF23" s="2" t="s">
        <v>33</v>
      </c>
      <c r="CG23" s="2" t="s">
        <v>33</v>
      </c>
      <c r="CH23" s="2" t="s">
        <v>33</v>
      </c>
      <c r="CI23" s="2" t="s">
        <v>33</v>
      </c>
      <c r="CJ23" s="2" t="s">
        <v>33</v>
      </c>
      <c r="CK23" s="2" t="s">
        <v>859</v>
      </c>
      <c r="CL23" s="2" t="s">
        <v>466</v>
      </c>
      <c r="CM23" s="4">
        <v>45296.0</v>
      </c>
      <c r="CN23" s="4">
        <v>45301.0</v>
      </c>
      <c r="CO23" s="2">
        <v>6.0</v>
      </c>
      <c r="CP23" s="2" t="s">
        <v>529</v>
      </c>
      <c r="CQ23" s="2" t="s">
        <v>441</v>
      </c>
      <c r="CR23" s="2" t="s">
        <v>442</v>
      </c>
      <c r="CS23" s="2" t="s">
        <v>529</v>
      </c>
      <c r="CT23" s="2" t="s">
        <v>368</v>
      </c>
      <c r="CU23" s="2" t="s">
        <v>372</v>
      </c>
    </row>
    <row r="24" ht="12.75" customHeight="1">
      <c r="A24" s="2">
        <v>23.0</v>
      </c>
      <c r="B24" s="2">
        <v>2.0</v>
      </c>
      <c r="C24" s="2" t="s">
        <v>358</v>
      </c>
      <c r="D24" s="2" t="s">
        <v>359</v>
      </c>
      <c r="E24" s="2" t="s">
        <v>473</v>
      </c>
      <c r="F24" s="2" t="s">
        <v>539</v>
      </c>
      <c r="G24" s="2" t="s">
        <v>539</v>
      </c>
      <c r="H24" s="2" t="s">
        <v>540</v>
      </c>
      <c r="I24" s="2" t="s">
        <v>859</v>
      </c>
      <c r="J24" s="2" t="s">
        <v>599</v>
      </c>
      <c r="K24" s="2" t="s">
        <v>366</v>
      </c>
      <c r="L24" s="2" t="s">
        <v>599</v>
      </c>
      <c r="M24" s="2" t="s">
        <v>368</v>
      </c>
      <c r="N24" s="2" t="s">
        <v>369</v>
      </c>
      <c r="O24" s="2" t="s">
        <v>442</v>
      </c>
      <c r="P24" s="2" t="s">
        <v>762</v>
      </c>
      <c r="Q24" s="2" t="s">
        <v>480</v>
      </c>
      <c r="R24" s="2" t="s">
        <v>480</v>
      </c>
      <c r="S24" s="2" t="s">
        <v>444</v>
      </c>
      <c r="T24" s="2" t="s">
        <v>378</v>
      </c>
      <c r="U24" s="2" t="s">
        <v>376</v>
      </c>
      <c r="V24" s="2" t="s">
        <v>376</v>
      </c>
      <c r="W24" s="2" t="s">
        <v>444</v>
      </c>
      <c r="X24" s="2" t="s">
        <v>444</v>
      </c>
      <c r="Y24" s="2" t="s">
        <v>444</v>
      </c>
      <c r="Z24" s="2" t="s">
        <v>444</v>
      </c>
      <c r="AA24" s="2" t="s">
        <v>382</v>
      </c>
      <c r="AB24" s="2" t="s">
        <v>490</v>
      </c>
      <c r="AC24" s="2" t="s">
        <v>1186</v>
      </c>
      <c r="AD24" s="2" t="s">
        <v>33</v>
      </c>
      <c r="AE24" s="2" t="s">
        <v>33</v>
      </c>
      <c r="AF24" s="2" t="s">
        <v>33</v>
      </c>
      <c r="AG24" s="2" t="s">
        <v>33</v>
      </c>
      <c r="AH24" s="2" t="s">
        <v>33</v>
      </c>
      <c r="AI24" s="2" t="s">
        <v>33</v>
      </c>
      <c r="AJ24" s="2" t="s">
        <v>33</v>
      </c>
      <c r="AK24" s="2" t="s">
        <v>33</v>
      </c>
      <c r="AL24" s="2">
        <v>3.0</v>
      </c>
      <c r="AM24" s="2">
        <v>5.0</v>
      </c>
      <c r="AN24" s="2">
        <v>1.0</v>
      </c>
      <c r="AO24" s="2">
        <v>5.0</v>
      </c>
      <c r="AP24" s="2">
        <v>5.0</v>
      </c>
      <c r="AQ24" s="2">
        <v>1.0</v>
      </c>
      <c r="AR24" s="2">
        <v>3.0</v>
      </c>
      <c r="AS24" s="2">
        <v>4.0</v>
      </c>
      <c r="AT24" s="2">
        <v>4.0</v>
      </c>
      <c r="AU24" s="2">
        <v>5.0</v>
      </c>
      <c r="AV24" s="2">
        <v>5.0</v>
      </c>
      <c r="AW24" s="2">
        <v>5.0</v>
      </c>
      <c r="AX24" s="2">
        <v>3.0</v>
      </c>
      <c r="AY24" s="2">
        <v>3.0</v>
      </c>
      <c r="AZ24" s="2">
        <v>1.0</v>
      </c>
      <c r="BA24" s="2">
        <v>5.0</v>
      </c>
      <c r="BB24" s="2">
        <v>1.0</v>
      </c>
      <c r="BC24" s="2">
        <v>1.0</v>
      </c>
      <c r="BD24" s="2">
        <v>1.0</v>
      </c>
      <c r="BE24" s="2">
        <v>5.0</v>
      </c>
      <c r="BF24" s="2">
        <v>1.0</v>
      </c>
      <c r="BG24" s="2">
        <v>1.0</v>
      </c>
      <c r="BH24" s="2">
        <v>1.0</v>
      </c>
      <c r="BI24" s="2">
        <v>1.0</v>
      </c>
      <c r="BJ24" s="2">
        <v>5.0</v>
      </c>
      <c r="BK24" s="2">
        <v>1.0</v>
      </c>
      <c r="BL24" s="2">
        <v>1.0</v>
      </c>
      <c r="BM24" s="2">
        <v>1.0</v>
      </c>
      <c r="BN24" s="2">
        <v>5.0</v>
      </c>
      <c r="BO24" s="2">
        <v>1.0</v>
      </c>
      <c r="BP24" s="2">
        <v>1.0</v>
      </c>
      <c r="BQ24" s="2" t="s">
        <v>568</v>
      </c>
      <c r="BR24" s="2" t="s">
        <v>389</v>
      </c>
      <c r="BS24" s="2" t="s">
        <v>390</v>
      </c>
      <c r="BT24" s="2" t="s">
        <v>391</v>
      </c>
      <c r="BU24" s="2" t="s">
        <v>392</v>
      </c>
      <c r="BV24" s="2" t="s">
        <v>393</v>
      </c>
      <c r="BW24" s="2" t="s">
        <v>396</v>
      </c>
      <c r="BX24" s="2" t="s">
        <v>730</v>
      </c>
      <c r="BY24" s="2" t="s">
        <v>33</v>
      </c>
      <c r="BZ24" s="2" t="s">
        <v>33</v>
      </c>
      <c r="CA24" s="2" t="s">
        <v>33</v>
      </c>
      <c r="CB24" s="2" t="s">
        <v>33</v>
      </c>
      <c r="CC24" s="2" t="s">
        <v>1194</v>
      </c>
      <c r="CD24" s="2">
        <v>3.0</v>
      </c>
      <c r="CE24" s="2" t="s">
        <v>794</v>
      </c>
      <c r="CF24" s="2" t="s">
        <v>952</v>
      </c>
      <c r="CG24" s="2" t="s">
        <v>999</v>
      </c>
      <c r="CH24" s="2" t="s">
        <v>33</v>
      </c>
      <c r="CI24" s="2" t="s">
        <v>33</v>
      </c>
      <c r="CJ24" s="2" t="s">
        <v>33</v>
      </c>
      <c r="CK24" s="2" t="s">
        <v>859</v>
      </c>
      <c r="CL24" s="2" t="s">
        <v>466</v>
      </c>
      <c r="CM24" s="4">
        <v>45320.0</v>
      </c>
      <c r="CN24" s="4">
        <v>45322.0</v>
      </c>
      <c r="CO24" s="2">
        <v>3.0</v>
      </c>
      <c r="CP24" s="2" t="s">
        <v>529</v>
      </c>
      <c r="CQ24" s="2" t="s">
        <v>369</v>
      </c>
      <c r="CR24" s="2" t="s">
        <v>442</v>
      </c>
      <c r="CS24" s="2" t="s">
        <v>529</v>
      </c>
      <c r="CT24" s="2" t="s">
        <v>368</v>
      </c>
      <c r="CU24" s="2" t="s">
        <v>762</v>
      </c>
    </row>
    <row r="25" ht="12.75" customHeight="1">
      <c r="A25" s="2">
        <v>24.0</v>
      </c>
      <c r="B25" s="2">
        <v>5.0</v>
      </c>
      <c r="C25" s="2" t="s">
        <v>358</v>
      </c>
      <c r="D25" s="2" t="s">
        <v>639</v>
      </c>
      <c r="E25" s="2" t="s">
        <v>360</v>
      </c>
      <c r="F25" s="2" t="s">
        <v>539</v>
      </c>
      <c r="G25" s="2" t="s">
        <v>539</v>
      </c>
      <c r="H25" s="2" t="s">
        <v>540</v>
      </c>
      <c r="I25" s="2" t="s">
        <v>363</v>
      </c>
      <c r="J25" s="2" t="s">
        <v>365</v>
      </c>
      <c r="K25" s="2" t="s">
        <v>366</v>
      </c>
      <c r="L25" s="2" t="s">
        <v>367</v>
      </c>
      <c r="M25" s="2" t="s">
        <v>368</v>
      </c>
      <c r="N25" s="2" t="s">
        <v>369</v>
      </c>
      <c r="O25" s="2" t="s">
        <v>370</v>
      </c>
      <c r="P25" s="2" t="s">
        <v>372</v>
      </c>
      <c r="Q25" s="2" t="s">
        <v>443</v>
      </c>
      <c r="R25" s="2" t="s">
        <v>443</v>
      </c>
      <c r="S25" s="2" t="s">
        <v>376</v>
      </c>
      <c r="T25" s="2" t="s">
        <v>376</v>
      </c>
      <c r="U25" s="2" t="s">
        <v>376</v>
      </c>
      <c r="V25" s="2" t="s">
        <v>376</v>
      </c>
      <c r="W25" s="2" t="s">
        <v>444</v>
      </c>
      <c r="X25" s="2" t="s">
        <v>376</v>
      </c>
      <c r="Y25" s="2" t="s">
        <v>376</v>
      </c>
      <c r="Z25" s="2" t="s">
        <v>378</v>
      </c>
      <c r="AA25" s="2" t="s">
        <v>447</v>
      </c>
      <c r="AB25" s="2" t="s">
        <v>359</v>
      </c>
      <c r="AC25" s="2" t="s">
        <v>806</v>
      </c>
      <c r="AD25" s="2" t="s">
        <v>1209</v>
      </c>
      <c r="AE25" s="2" t="s">
        <v>33</v>
      </c>
      <c r="AF25" s="2" t="s">
        <v>33</v>
      </c>
      <c r="AG25" s="2" t="s">
        <v>33</v>
      </c>
      <c r="AH25" s="2" t="s">
        <v>33</v>
      </c>
      <c r="AI25" s="2" t="s">
        <v>33</v>
      </c>
      <c r="AJ25" s="2" t="s">
        <v>33</v>
      </c>
      <c r="AK25" s="2" t="s">
        <v>33</v>
      </c>
      <c r="AL25" s="2">
        <v>3.0</v>
      </c>
      <c r="AM25" s="2">
        <v>5.0</v>
      </c>
      <c r="AN25" s="2">
        <v>4.0</v>
      </c>
      <c r="AO25" s="2">
        <v>2.0</v>
      </c>
      <c r="AP25" s="2">
        <v>1.0</v>
      </c>
      <c r="AQ25" s="2">
        <v>1.0</v>
      </c>
      <c r="AR25" s="2">
        <v>1.0</v>
      </c>
      <c r="AS25" s="2">
        <v>1.0</v>
      </c>
      <c r="AT25" s="2">
        <v>1.0</v>
      </c>
      <c r="AU25" s="2">
        <v>1.0</v>
      </c>
      <c r="AV25" s="2">
        <v>5.0</v>
      </c>
      <c r="AW25" s="2">
        <v>1.0</v>
      </c>
      <c r="AX25" s="2">
        <v>1.0</v>
      </c>
      <c r="AY25" s="2">
        <v>1.0</v>
      </c>
      <c r="AZ25" s="2">
        <v>1.0</v>
      </c>
      <c r="BA25" s="2">
        <v>1.0</v>
      </c>
      <c r="BB25" s="2">
        <v>1.0</v>
      </c>
      <c r="BC25" s="2">
        <v>1.0</v>
      </c>
      <c r="BD25" s="2">
        <v>1.0</v>
      </c>
      <c r="BE25" s="2">
        <v>4.0</v>
      </c>
      <c r="BF25" s="2">
        <v>2.0</v>
      </c>
      <c r="BG25" s="2">
        <v>2.0</v>
      </c>
      <c r="BH25" s="2">
        <v>1.0</v>
      </c>
      <c r="BI25" s="2">
        <v>1.0</v>
      </c>
      <c r="BJ25" s="2">
        <v>1.0</v>
      </c>
      <c r="BK25" s="2">
        <v>1.0</v>
      </c>
      <c r="BL25" s="2">
        <v>1.0</v>
      </c>
      <c r="BM25" s="2">
        <v>1.0</v>
      </c>
      <c r="BN25" s="2">
        <v>5.0</v>
      </c>
      <c r="BO25" s="2">
        <v>1.0</v>
      </c>
      <c r="BP25" s="2">
        <v>2.0</v>
      </c>
      <c r="BQ25" s="2" t="s">
        <v>389</v>
      </c>
      <c r="BR25" s="2" t="s">
        <v>390</v>
      </c>
      <c r="BS25" s="2" t="s">
        <v>391</v>
      </c>
      <c r="BT25" s="2" t="s">
        <v>392</v>
      </c>
      <c r="BU25" s="2" t="s">
        <v>393</v>
      </c>
      <c r="BV25" s="2" t="s">
        <v>394</v>
      </c>
      <c r="BW25" s="2" t="s">
        <v>395</v>
      </c>
      <c r="BX25" s="2" t="s">
        <v>519</v>
      </c>
      <c r="BY25" s="2" t="s">
        <v>33</v>
      </c>
      <c r="BZ25" s="2" t="s">
        <v>33</v>
      </c>
      <c r="CA25" s="2" t="s">
        <v>33</v>
      </c>
      <c r="CB25" s="2" t="s">
        <v>33</v>
      </c>
      <c r="CC25" s="3" t="s">
        <v>1219</v>
      </c>
      <c r="CD25" s="2">
        <v>5.0</v>
      </c>
      <c r="CE25" s="2" t="s">
        <v>33</v>
      </c>
      <c r="CF25" s="2" t="s">
        <v>33</v>
      </c>
      <c r="CG25" s="2" t="s">
        <v>33</v>
      </c>
      <c r="CH25" s="2" t="s">
        <v>999</v>
      </c>
      <c r="CI25" s="2" t="s">
        <v>33</v>
      </c>
      <c r="CJ25" s="2" t="s">
        <v>33</v>
      </c>
      <c r="CK25" s="2" t="s">
        <v>425</v>
      </c>
      <c r="CL25" s="2" t="s">
        <v>367</v>
      </c>
      <c r="CM25" s="4">
        <v>45317.0</v>
      </c>
      <c r="CN25" s="4">
        <v>45321.0</v>
      </c>
      <c r="CO25" s="2">
        <v>5.0</v>
      </c>
      <c r="CP25" s="2" t="s">
        <v>434</v>
      </c>
      <c r="CQ25" s="2" t="s">
        <v>369</v>
      </c>
      <c r="CR25" s="2" t="s">
        <v>370</v>
      </c>
      <c r="CS25" s="2" t="s">
        <v>434</v>
      </c>
      <c r="CT25" s="2" t="s">
        <v>368</v>
      </c>
      <c r="CU25" s="2" t="s">
        <v>372</v>
      </c>
    </row>
    <row r="26" ht="12.75" customHeight="1">
      <c r="A26" s="2">
        <v>25.0</v>
      </c>
      <c r="B26" s="2">
        <v>7.0</v>
      </c>
      <c r="C26" s="2" t="s">
        <v>358</v>
      </c>
      <c r="D26" s="2" t="s">
        <v>639</v>
      </c>
      <c r="E26" s="2" t="s">
        <v>801</v>
      </c>
      <c r="F26" s="2" t="s">
        <v>640</v>
      </c>
      <c r="G26" s="2" t="s">
        <v>1227</v>
      </c>
      <c r="H26" s="2" t="s">
        <v>362</v>
      </c>
      <c r="I26" s="2" t="s">
        <v>363</v>
      </c>
      <c r="J26" s="2" t="s">
        <v>365</v>
      </c>
      <c r="K26" s="2" t="s">
        <v>366</v>
      </c>
      <c r="L26" s="2" t="s">
        <v>367</v>
      </c>
      <c r="M26" s="2" t="s">
        <v>368</v>
      </c>
      <c r="N26" s="2" t="s">
        <v>369</v>
      </c>
      <c r="O26" s="2" t="s">
        <v>370</v>
      </c>
      <c r="P26" s="2" t="s">
        <v>372</v>
      </c>
      <c r="Q26" s="2" t="s">
        <v>361</v>
      </c>
      <c r="R26" s="2" t="s">
        <v>361</v>
      </c>
      <c r="S26" s="2" t="s">
        <v>378</v>
      </c>
      <c r="T26" s="2" t="s">
        <v>376</v>
      </c>
      <c r="U26" s="2" t="s">
        <v>376</v>
      </c>
      <c r="V26" s="2" t="s">
        <v>376</v>
      </c>
      <c r="W26" s="2" t="s">
        <v>378</v>
      </c>
      <c r="X26" s="2" t="s">
        <v>378</v>
      </c>
      <c r="Y26" s="2" t="s">
        <v>376</v>
      </c>
      <c r="Z26" s="2" t="s">
        <v>376</v>
      </c>
      <c r="AA26" s="2" t="s">
        <v>447</v>
      </c>
      <c r="AB26" s="2" t="s">
        <v>359</v>
      </c>
      <c r="AC26" s="2" t="s">
        <v>806</v>
      </c>
      <c r="AD26" s="2" t="s">
        <v>33</v>
      </c>
      <c r="AE26" s="2" t="s">
        <v>33</v>
      </c>
      <c r="AF26" s="2" t="s">
        <v>33</v>
      </c>
      <c r="AG26" s="2" t="s">
        <v>33</v>
      </c>
      <c r="AH26" s="2" t="s">
        <v>33</v>
      </c>
      <c r="AI26" s="2" t="s">
        <v>33</v>
      </c>
      <c r="AJ26" s="2" t="s">
        <v>33</v>
      </c>
      <c r="AK26" s="2" t="s">
        <v>33</v>
      </c>
      <c r="AL26" s="2">
        <v>3.0</v>
      </c>
      <c r="AM26" s="2">
        <v>4.0</v>
      </c>
      <c r="AN26" s="2">
        <v>3.0</v>
      </c>
      <c r="AO26" s="2">
        <v>3.0</v>
      </c>
      <c r="AP26" s="2">
        <v>3.0</v>
      </c>
      <c r="AQ26" s="2">
        <v>1.0</v>
      </c>
      <c r="AR26" s="2">
        <v>2.0</v>
      </c>
      <c r="AS26" s="2">
        <v>4.0</v>
      </c>
      <c r="AT26" s="2">
        <v>1.0</v>
      </c>
      <c r="AU26" s="2">
        <v>1.0</v>
      </c>
      <c r="AV26" s="2">
        <v>5.0</v>
      </c>
      <c r="AW26" s="2">
        <v>5.0</v>
      </c>
      <c r="AX26" s="2">
        <v>1.0</v>
      </c>
      <c r="AY26" s="2">
        <v>1.0</v>
      </c>
      <c r="AZ26" s="2">
        <v>3.0</v>
      </c>
      <c r="BA26" s="2">
        <v>5.0</v>
      </c>
      <c r="BB26" s="2">
        <v>1.0</v>
      </c>
      <c r="BC26" s="2">
        <v>1.0</v>
      </c>
      <c r="BD26" s="2">
        <v>1.0</v>
      </c>
      <c r="BE26" s="2">
        <v>4.0</v>
      </c>
      <c r="BF26" s="2">
        <v>2.0</v>
      </c>
      <c r="BG26" s="2">
        <v>1.0</v>
      </c>
      <c r="BH26" s="2">
        <v>1.0</v>
      </c>
      <c r="BI26" s="2">
        <v>1.0</v>
      </c>
      <c r="BJ26" s="2">
        <v>1.0</v>
      </c>
      <c r="BK26" s="2">
        <v>1.0</v>
      </c>
      <c r="BL26" s="2">
        <v>1.0</v>
      </c>
      <c r="BM26" s="2">
        <v>1.0</v>
      </c>
      <c r="BN26" s="2">
        <v>2.0</v>
      </c>
      <c r="BO26" s="2">
        <v>1.0</v>
      </c>
      <c r="BP26" s="2">
        <v>1.0</v>
      </c>
      <c r="BQ26" s="2" t="s">
        <v>568</v>
      </c>
      <c r="BR26" s="2" t="s">
        <v>389</v>
      </c>
      <c r="BS26" s="2" t="s">
        <v>390</v>
      </c>
      <c r="BT26" s="2" t="s">
        <v>391</v>
      </c>
      <c r="BU26" s="2" t="s">
        <v>393</v>
      </c>
      <c r="BV26" s="2" t="s">
        <v>395</v>
      </c>
      <c r="BW26" s="2" t="s">
        <v>396</v>
      </c>
      <c r="BX26" s="2" t="s">
        <v>33</v>
      </c>
      <c r="BY26" s="2" t="s">
        <v>33</v>
      </c>
      <c r="BZ26" s="2" t="s">
        <v>33</v>
      </c>
      <c r="CA26" s="2" t="s">
        <v>33</v>
      </c>
      <c r="CB26" s="2" t="s">
        <v>33</v>
      </c>
      <c r="CC26" s="2" t="s">
        <v>1241</v>
      </c>
      <c r="CD26" s="2">
        <v>5.0</v>
      </c>
      <c r="CE26" s="2" t="s">
        <v>794</v>
      </c>
      <c r="CF26" s="2" t="s">
        <v>952</v>
      </c>
      <c r="CG26" s="2" t="s">
        <v>1083</v>
      </c>
      <c r="CH26" s="2" t="s">
        <v>1242</v>
      </c>
      <c r="CI26" s="2" t="s">
        <v>33</v>
      </c>
      <c r="CJ26" s="2" t="s">
        <v>33</v>
      </c>
      <c r="CK26" s="2" t="s">
        <v>425</v>
      </c>
      <c r="CL26" s="2" t="s">
        <v>367</v>
      </c>
      <c r="CM26" s="4">
        <v>45299.0</v>
      </c>
      <c r="CN26" s="4">
        <v>45303.0</v>
      </c>
      <c r="CO26" s="2">
        <v>5.0</v>
      </c>
      <c r="CP26" s="2" t="s">
        <v>434</v>
      </c>
      <c r="CQ26" s="2" t="s">
        <v>369</v>
      </c>
      <c r="CR26" s="2" t="s">
        <v>370</v>
      </c>
      <c r="CS26" s="2" t="s">
        <v>434</v>
      </c>
      <c r="CT26" s="2" t="s">
        <v>368</v>
      </c>
      <c r="CU26" s="2" t="s">
        <v>372</v>
      </c>
    </row>
    <row r="27" ht="12.75" customHeight="1">
      <c r="A27" s="2">
        <v>26.0</v>
      </c>
      <c r="B27" s="2">
        <v>2.0</v>
      </c>
      <c r="C27" s="2" t="s">
        <v>358</v>
      </c>
      <c r="D27" s="2" t="s">
        <v>359</v>
      </c>
      <c r="E27" s="2" t="s">
        <v>360</v>
      </c>
      <c r="F27" s="2" t="s">
        <v>437</v>
      </c>
      <c r="G27" s="2" t="s">
        <v>437</v>
      </c>
      <c r="H27" s="2" t="s">
        <v>540</v>
      </c>
      <c r="I27" s="2" t="s">
        <v>859</v>
      </c>
      <c r="J27" s="2" t="s">
        <v>599</v>
      </c>
      <c r="K27" s="2" t="s">
        <v>366</v>
      </c>
      <c r="L27" s="2" t="s">
        <v>599</v>
      </c>
      <c r="M27" s="2" t="s">
        <v>645</v>
      </c>
      <c r="N27" s="2" t="s">
        <v>441</v>
      </c>
      <c r="O27" s="2" t="s">
        <v>370</v>
      </c>
      <c r="P27" s="2" t="s">
        <v>1026</v>
      </c>
      <c r="Q27" s="2" t="s">
        <v>480</v>
      </c>
      <c r="R27" s="2" t="s">
        <v>480</v>
      </c>
      <c r="S27" s="2" t="s">
        <v>376</v>
      </c>
      <c r="T27" s="2" t="s">
        <v>376</v>
      </c>
      <c r="U27" s="2" t="s">
        <v>378</v>
      </c>
      <c r="V27" s="2" t="s">
        <v>378</v>
      </c>
      <c r="W27" s="2" t="s">
        <v>444</v>
      </c>
      <c r="X27" s="2" t="s">
        <v>444</v>
      </c>
      <c r="Y27" s="2" t="s">
        <v>444</v>
      </c>
      <c r="Z27" s="2" t="s">
        <v>378</v>
      </c>
      <c r="AA27" s="2" t="s">
        <v>986</v>
      </c>
      <c r="AB27" s="2" t="s">
        <v>1248</v>
      </c>
      <c r="AC27" s="2" t="s">
        <v>450</v>
      </c>
      <c r="AD27" s="2" t="s">
        <v>451</v>
      </c>
      <c r="AE27" s="2" t="s">
        <v>452</v>
      </c>
      <c r="AF27" s="2" t="s">
        <v>386</v>
      </c>
      <c r="AG27" s="2" t="s">
        <v>387</v>
      </c>
      <c r="AH27" s="2" t="s">
        <v>388</v>
      </c>
      <c r="AI27" s="2" t="s">
        <v>33</v>
      </c>
      <c r="AJ27" s="2" t="s">
        <v>33</v>
      </c>
      <c r="AK27" s="2" t="s">
        <v>33</v>
      </c>
      <c r="AL27" s="2">
        <v>4.0</v>
      </c>
      <c r="AM27" s="2">
        <v>5.0</v>
      </c>
      <c r="AN27" s="2">
        <v>2.0</v>
      </c>
      <c r="AO27" s="2">
        <v>3.0</v>
      </c>
      <c r="AP27" s="2">
        <v>2.0</v>
      </c>
      <c r="AQ27" s="2">
        <v>1.0</v>
      </c>
      <c r="AR27" s="2">
        <v>2.0</v>
      </c>
      <c r="AS27" s="2">
        <v>2.0</v>
      </c>
      <c r="AT27" s="2">
        <v>1.0</v>
      </c>
      <c r="AU27" s="2">
        <v>3.0</v>
      </c>
      <c r="AV27" s="2">
        <v>5.0</v>
      </c>
      <c r="AW27" s="2">
        <v>5.0</v>
      </c>
      <c r="AX27" s="2">
        <v>1.0</v>
      </c>
      <c r="AY27" s="2">
        <v>1.0</v>
      </c>
      <c r="AZ27" s="2">
        <v>3.0</v>
      </c>
      <c r="BA27" s="2">
        <v>5.0</v>
      </c>
      <c r="BB27" s="2">
        <v>1.0</v>
      </c>
      <c r="BC27" s="2">
        <v>1.0</v>
      </c>
      <c r="BD27" s="2">
        <v>1.0</v>
      </c>
      <c r="BE27" s="2">
        <v>4.0</v>
      </c>
      <c r="BF27" s="2">
        <v>1.0</v>
      </c>
      <c r="BG27" s="2">
        <v>1.0</v>
      </c>
      <c r="BH27" s="2">
        <v>1.0</v>
      </c>
      <c r="BI27" s="2">
        <v>1.0</v>
      </c>
      <c r="BJ27" s="2">
        <v>1.0</v>
      </c>
      <c r="BK27" s="2">
        <v>1.0</v>
      </c>
      <c r="BL27" s="2">
        <v>1.0</v>
      </c>
      <c r="BM27" s="2">
        <v>1.0</v>
      </c>
      <c r="BN27" s="2">
        <v>5.0</v>
      </c>
      <c r="BO27" s="2">
        <v>1.0</v>
      </c>
      <c r="BP27" s="2">
        <v>3.0</v>
      </c>
      <c r="BQ27" s="2" t="s">
        <v>390</v>
      </c>
      <c r="BR27" s="2" t="s">
        <v>392</v>
      </c>
      <c r="BS27" s="2" t="s">
        <v>395</v>
      </c>
      <c r="BT27" s="2" t="s">
        <v>396</v>
      </c>
      <c r="BU27" s="2" t="s">
        <v>573</v>
      </c>
      <c r="BV27" s="2" t="s">
        <v>33</v>
      </c>
      <c r="BW27" s="2" t="s">
        <v>33</v>
      </c>
      <c r="BX27" s="2" t="s">
        <v>33</v>
      </c>
      <c r="BY27" s="2" t="s">
        <v>33</v>
      </c>
      <c r="BZ27" s="2" t="s">
        <v>33</v>
      </c>
      <c r="CA27" s="2" t="s">
        <v>33</v>
      </c>
      <c r="CB27" s="2" t="s">
        <v>33</v>
      </c>
      <c r="CC27" s="2" t="s">
        <v>1257</v>
      </c>
      <c r="CD27" s="2">
        <v>3.0</v>
      </c>
      <c r="CE27" s="2" t="s">
        <v>1172</v>
      </c>
      <c r="CF27" s="2" t="s">
        <v>1083</v>
      </c>
      <c r="CG27" s="2" t="s">
        <v>33</v>
      </c>
      <c r="CH27" s="2" t="s">
        <v>33</v>
      </c>
      <c r="CI27" s="2" t="s">
        <v>33</v>
      </c>
      <c r="CJ27" s="2" t="s">
        <v>33</v>
      </c>
      <c r="CK27" s="2" t="s">
        <v>859</v>
      </c>
      <c r="CL27" s="2" t="s">
        <v>466</v>
      </c>
      <c r="CM27" s="4">
        <v>45325.0</v>
      </c>
      <c r="CN27" s="4">
        <v>45330.0</v>
      </c>
      <c r="CO27" s="2">
        <v>6.0</v>
      </c>
      <c r="CP27" s="2" t="s">
        <v>529</v>
      </c>
      <c r="CQ27" s="2" t="s">
        <v>441</v>
      </c>
      <c r="CR27" s="2" t="s">
        <v>370</v>
      </c>
      <c r="CS27" s="2" t="s">
        <v>529</v>
      </c>
      <c r="CT27" s="2" t="s">
        <v>645</v>
      </c>
      <c r="CU27" s="2" t="s">
        <v>1026</v>
      </c>
    </row>
    <row r="28" ht="12.75" customHeight="1">
      <c r="A28" s="2">
        <v>27.0</v>
      </c>
      <c r="B28" s="2">
        <v>6.0</v>
      </c>
      <c r="C28" s="2" t="s">
        <v>358</v>
      </c>
      <c r="D28" s="2" t="s">
        <v>359</v>
      </c>
      <c r="E28" s="2" t="s">
        <v>473</v>
      </c>
      <c r="F28" s="2" t="s">
        <v>361</v>
      </c>
      <c r="G28" s="2" t="s">
        <v>361</v>
      </c>
      <c r="H28" s="2" t="s">
        <v>362</v>
      </c>
      <c r="I28" s="2" t="s">
        <v>1266</v>
      </c>
      <c r="J28" s="2" t="s">
        <v>599</v>
      </c>
      <c r="K28" s="2" t="s">
        <v>366</v>
      </c>
      <c r="L28" s="2" t="s">
        <v>599</v>
      </c>
      <c r="M28" s="2" t="s">
        <v>368</v>
      </c>
      <c r="N28" s="2" t="s">
        <v>441</v>
      </c>
      <c r="O28" s="2" t="s">
        <v>370</v>
      </c>
      <c r="P28" s="2" t="s">
        <v>762</v>
      </c>
      <c r="Q28" s="2" t="s">
        <v>480</v>
      </c>
      <c r="R28" s="2" t="s">
        <v>480</v>
      </c>
      <c r="S28" s="2" t="s">
        <v>378</v>
      </c>
      <c r="T28" s="2" t="s">
        <v>378</v>
      </c>
      <c r="U28" s="2" t="s">
        <v>378</v>
      </c>
      <c r="V28" s="2" t="s">
        <v>378</v>
      </c>
      <c r="W28" s="2" t="s">
        <v>444</v>
      </c>
      <c r="X28" s="2" t="s">
        <v>444</v>
      </c>
      <c r="Y28" s="2" t="s">
        <v>444</v>
      </c>
      <c r="Z28" s="2" t="s">
        <v>378</v>
      </c>
      <c r="AA28" s="2" t="s">
        <v>986</v>
      </c>
      <c r="AB28" s="2" t="s">
        <v>551</v>
      </c>
      <c r="AC28" s="2" t="s">
        <v>385</v>
      </c>
      <c r="AD28" s="2" t="s">
        <v>386</v>
      </c>
      <c r="AE28" s="2" t="s">
        <v>387</v>
      </c>
      <c r="AF28" s="2" t="s">
        <v>388</v>
      </c>
      <c r="AG28" s="2" t="s">
        <v>33</v>
      </c>
      <c r="AH28" s="2" t="s">
        <v>33</v>
      </c>
      <c r="AI28" s="2" t="s">
        <v>33</v>
      </c>
      <c r="AJ28" s="2" t="s">
        <v>33</v>
      </c>
      <c r="AK28" s="2" t="s">
        <v>33</v>
      </c>
      <c r="AL28" s="2">
        <v>3.0</v>
      </c>
      <c r="AM28" s="2">
        <v>4.0</v>
      </c>
      <c r="AN28" s="2">
        <v>1.0</v>
      </c>
      <c r="AO28" s="2">
        <v>4.0</v>
      </c>
      <c r="AP28" s="2">
        <v>4.0</v>
      </c>
      <c r="AQ28" s="2">
        <v>2.0</v>
      </c>
      <c r="AR28" s="2">
        <v>2.0</v>
      </c>
      <c r="AS28" s="2">
        <v>3.0</v>
      </c>
      <c r="AT28" s="2">
        <v>2.0</v>
      </c>
      <c r="AU28" s="2">
        <v>3.0</v>
      </c>
      <c r="AV28" s="2">
        <v>5.0</v>
      </c>
      <c r="AW28" s="2">
        <v>3.0</v>
      </c>
      <c r="AX28" s="2">
        <v>2.0</v>
      </c>
      <c r="AY28" s="2">
        <v>1.0</v>
      </c>
      <c r="AZ28" s="2">
        <v>3.0</v>
      </c>
      <c r="BA28" s="2">
        <v>2.0</v>
      </c>
      <c r="BB28" s="2">
        <v>1.0</v>
      </c>
      <c r="BC28" s="2">
        <v>1.0</v>
      </c>
      <c r="BD28" s="2">
        <v>1.0</v>
      </c>
      <c r="BE28" s="2">
        <v>5.0</v>
      </c>
      <c r="BF28" s="2">
        <v>1.0</v>
      </c>
      <c r="BG28" s="2">
        <v>1.0</v>
      </c>
      <c r="BH28" s="2">
        <v>1.0</v>
      </c>
      <c r="BI28" s="2">
        <v>1.0</v>
      </c>
      <c r="BJ28" s="2">
        <v>1.0</v>
      </c>
      <c r="BK28" s="2">
        <v>1.0</v>
      </c>
      <c r="BL28" s="2">
        <v>1.0</v>
      </c>
      <c r="BM28" s="2">
        <v>1.0</v>
      </c>
      <c r="BN28" s="2">
        <v>5.0</v>
      </c>
      <c r="BO28" s="2">
        <v>1.0</v>
      </c>
      <c r="BP28" s="2">
        <v>2.0</v>
      </c>
      <c r="BQ28" s="2" t="s">
        <v>390</v>
      </c>
      <c r="BR28" s="2" t="s">
        <v>391</v>
      </c>
      <c r="BS28" s="2" t="s">
        <v>392</v>
      </c>
      <c r="BT28" s="2" t="s">
        <v>393</v>
      </c>
      <c r="BU28" s="2" t="s">
        <v>394</v>
      </c>
      <c r="BV28" s="2" t="s">
        <v>395</v>
      </c>
      <c r="BW28" s="2" t="s">
        <v>396</v>
      </c>
      <c r="BX28" s="2" t="s">
        <v>33</v>
      </c>
      <c r="BY28" s="2" t="s">
        <v>33</v>
      </c>
      <c r="BZ28" s="2" t="s">
        <v>33</v>
      </c>
      <c r="CA28" s="2" t="s">
        <v>33</v>
      </c>
      <c r="CB28" s="2" t="s">
        <v>33</v>
      </c>
      <c r="CC28" s="2" t="s">
        <v>1278</v>
      </c>
      <c r="CD28" s="2">
        <v>5.0</v>
      </c>
      <c r="CE28" s="2" t="s">
        <v>1083</v>
      </c>
      <c r="CF28" s="2" t="s">
        <v>33</v>
      </c>
      <c r="CG28" s="2" t="s">
        <v>33</v>
      </c>
      <c r="CH28" s="2" t="s">
        <v>33</v>
      </c>
      <c r="CI28" s="2" t="s">
        <v>33</v>
      </c>
      <c r="CJ28" s="2" t="s">
        <v>33</v>
      </c>
      <c r="CK28" s="2" t="s">
        <v>1266</v>
      </c>
      <c r="CL28" s="2" t="s">
        <v>466</v>
      </c>
      <c r="CM28" s="2" t="s">
        <v>33</v>
      </c>
      <c r="CN28" s="2" t="s">
        <v>33</v>
      </c>
      <c r="CO28" s="2" t="s">
        <v>33</v>
      </c>
      <c r="CP28" s="2" t="s">
        <v>529</v>
      </c>
      <c r="CQ28" s="2" t="s">
        <v>441</v>
      </c>
      <c r="CR28" s="2" t="s">
        <v>370</v>
      </c>
      <c r="CS28" s="2" t="s">
        <v>529</v>
      </c>
      <c r="CT28" s="2" t="s">
        <v>368</v>
      </c>
      <c r="CU28" s="2" t="s">
        <v>762</v>
      </c>
    </row>
    <row r="29" ht="12.75" customHeight="1">
      <c r="A29" s="2">
        <v>28.0</v>
      </c>
      <c r="B29" s="2">
        <v>2.0</v>
      </c>
      <c r="C29" s="2" t="s">
        <v>358</v>
      </c>
      <c r="D29" s="2" t="s">
        <v>359</v>
      </c>
      <c r="E29" s="2" t="s">
        <v>360</v>
      </c>
      <c r="F29" s="2" t="s">
        <v>539</v>
      </c>
      <c r="G29" s="2" t="s">
        <v>539</v>
      </c>
      <c r="H29" s="2" t="s">
        <v>362</v>
      </c>
      <c r="I29" s="2" t="s">
        <v>438</v>
      </c>
      <c r="J29" s="2" t="s">
        <v>438</v>
      </c>
      <c r="K29" s="2" t="s">
        <v>366</v>
      </c>
      <c r="L29" s="2" t="s">
        <v>440</v>
      </c>
      <c r="M29" s="2" t="s">
        <v>645</v>
      </c>
      <c r="N29" s="2" t="s">
        <v>802</v>
      </c>
      <c r="O29" s="2" t="s">
        <v>370</v>
      </c>
      <c r="P29" s="2" t="s">
        <v>762</v>
      </c>
      <c r="Q29" s="2" t="s">
        <v>480</v>
      </c>
      <c r="R29" s="2" t="s">
        <v>480</v>
      </c>
      <c r="S29" s="2" t="s">
        <v>378</v>
      </c>
      <c r="T29" s="2" t="s">
        <v>376</v>
      </c>
      <c r="U29" s="2" t="s">
        <v>376</v>
      </c>
      <c r="V29" s="2" t="s">
        <v>376</v>
      </c>
      <c r="W29" s="2" t="s">
        <v>444</v>
      </c>
      <c r="X29" s="2" t="s">
        <v>378</v>
      </c>
      <c r="Y29" s="2" t="s">
        <v>378</v>
      </c>
      <c r="Z29" s="2" t="s">
        <v>444</v>
      </c>
      <c r="AA29" s="2" t="s">
        <v>1031</v>
      </c>
      <c r="AB29" s="2" t="s">
        <v>551</v>
      </c>
      <c r="AC29" s="2" t="s">
        <v>385</v>
      </c>
      <c r="AD29" s="2" t="s">
        <v>387</v>
      </c>
      <c r="AE29" s="2" t="s">
        <v>455</v>
      </c>
      <c r="AF29" s="2" t="s">
        <v>33</v>
      </c>
      <c r="AG29" s="2" t="s">
        <v>33</v>
      </c>
      <c r="AH29" s="2" t="s">
        <v>33</v>
      </c>
      <c r="AI29" s="2" t="s">
        <v>33</v>
      </c>
      <c r="AJ29" s="2" t="s">
        <v>33</v>
      </c>
      <c r="AK29" s="2" t="s">
        <v>33</v>
      </c>
      <c r="AL29" s="2">
        <v>1.0</v>
      </c>
      <c r="AM29" s="2">
        <v>3.0</v>
      </c>
      <c r="AN29" s="2">
        <v>2.0</v>
      </c>
      <c r="AO29" s="2">
        <v>2.0</v>
      </c>
      <c r="AP29" s="2">
        <v>1.0</v>
      </c>
      <c r="AQ29" s="2">
        <v>2.0</v>
      </c>
      <c r="AR29" s="2">
        <v>2.0</v>
      </c>
      <c r="AS29" s="2">
        <v>1.0</v>
      </c>
      <c r="AT29" s="2">
        <v>1.0</v>
      </c>
      <c r="AU29" s="2">
        <v>1.0</v>
      </c>
      <c r="AV29" s="2">
        <v>4.0</v>
      </c>
      <c r="AW29" s="2">
        <v>4.0</v>
      </c>
      <c r="AX29" s="2">
        <v>1.0</v>
      </c>
      <c r="AY29" s="2">
        <v>2.0</v>
      </c>
      <c r="AZ29" s="2">
        <v>1.0</v>
      </c>
      <c r="BA29" s="2">
        <v>1.0</v>
      </c>
      <c r="BB29" s="2">
        <v>2.0</v>
      </c>
      <c r="BC29" s="2">
        <v>1.0</v>
      </c>
      <c r="BD29" s="2">
        <v>1.0</v>
      </c>
      <c r="BE29" s="2">
        <v>3.0</v>
      </c>
      <c r="BF29" s="2">
        <v>2.0</v>
      </c>
      <c r="BG29" s="2">
        <v>2.0</v>
      </c>
      <c r="BH29" s="2">
        <v>1.0</v>
      </c>
      <c r="BI29" s="2">
        <v>1.0</v>
      </c>
      <c r="BJ29" s="2">
        <v>1.0</v>
      </c>
      <c r="BK29" s="2">
        <v>1.0</v>
      </c>
      <c r="BL29" s="2">
        <v>1.0</v>
      </c>
      <c r="BM29" s="2">
        <v>1.0</v>
      </c>
      <c r="BN29" s="2">
        <v>3.0</v>
      </c>
      <c r="BO29" s="2">
        <v>1.0</v>
      </c>
      <c r="BP29" s="2">
        <v>1.0</v>
      </c>
      <c r="BQ29" s="2" t="s">
        <v>389</v>
      </c>
      <c r="BR29" s="2" t="s">
        <v>390</v>
      </c>
      <c r="BS29" s="2" t="s">
        <v>391</v>
      </c>
      <c r="BT29" s="2" t="s">
        <v>392</v>
      </c>
      <c r="BU29" s="2" t="s">
        <v>393</v>
      </c>
      <c r="BV29" s="2" t="s">
        <v>33</v>
      </c>
      <c r="BW29" s="2" t="s">
        <v>33</v>
      </c>
      <c r="BX29" s="2" t="s">
        <v>33</v>
      </c>
      <c r="BY29" s="2" t="s">
        <v>33</v>
      </c>
      <c r="BZ29" s="2" t="s">
        <v>33</v>
      </c>
      <c r="CA29" s="2" t="s">
        <v>33</v>
      </c>
      <c r="CB29" s="2" t="s">
        <v>33</v>
      </c>
      <c r="CC29" s="3" t="s">
        <v>1295</v>
      </c>
      <c r="CD29" s="2">
        <v>5.0</v>
      </c>
      <c r="CE29" s="2" t="s">
        <v>33</v>
      </c>
      <c r="CF29" s="2" t="s">
        <v>33</v>
      </c>
      <c r="CG29" s="2" t="s">
        <v>33</v>
      </c>
      <c r="CH29" s="2" t="s">
        <v>999</v>
      </c>
      <c r="CI29" s="2" t="s">
        <v>33</v>
      </c>
      <c r="CJ29" s="2" t="s">
        <v>33</v>
      </c>
      <c r="CK29" s="2" t="s">
        <v>438</v>
      </c>
      <c r="CL29" s="2" t="s">
        <v>466</v>
      </c>
      <c r="CM29" s="4">
        <v>45316.0</v>
      </c>
      <c r="CN29" s="4">
        <v>45321.0</v>
      </c>
      <c r="CO29" s="2">
        <v>6.0</v>
      </c>
      <c r="CP29" s="2" t="s">
        <v>529</v>
      </c>
      <c r="CQ29" s="2" t="s">
        <v>802</v>
      </c>
      <c r="CR29" s="2" t="s">
        <v>370</v>
      </c>
      <c r="CS29" s="2" t="s">
        <v>529</v>
      </c>
      <c r="CT29" s="2" t="s">
        <v>645</v>
      </c>
      <c r="CU29" s="2" t="s">
        <v>762</v>
      </c>
    </row>
    <row r="30" ht="12.75" customHeight="1">
      <c r="A30" s="2">
        <v>29.0</v>
      </c>
      <c r="B30" s="2">
        <v>2.0</v>
      </c>
      <c r="C30" s="2" t="s">
        <v>358</v>
      </c>
      <c r="D30" s="2" t="s">
        <v>359</v>
      </c>
      <c r="E30" s="2" t="s">
        <v>473</v>
      </c>
      <c r="F30" s="2" t="s">
        <v>437</v>
      </c>
      <c r="G30" s="2" t="s">
        <v>437</v>
      </c>
      <c r="H30" s="2" t="s">
        <v>540</v>
      </c>
      <c r="I30" s="2" t="s">
        <v>859</v>
      </c>
      <c r="J30" s="2" t="s">
        <v>599</v>
      </c>
      <c r="K30" s="2" t="s">
        <v>366</v>
      </c>
      <c r="L30" s="2" t="s">
        <v>599</v>
      </c>
      <c r="M30" s="2" t="s">
        <v>368</v>
      </c>
      <c r="N30" s="2" t="s">
        <v>441</v>
      </c>
      <c r="O30" s="2" t="s">
        <v>442</v>
      </c>
      <c r="P30" s="2" t="s">
        <v>372</v>
      </c>
      <c r="Q30" s="2" t="s">
        <v>480</v>
      </c>
      <c r="R30" s="2" t="s">
        <v>480</v>
      </c>
      <c r="S30" s="2" t="s">
        <v>378</v>
      </c>
      <c r="T30" s="2" t="s">
        <v>378</v>
      </c>
      <c r="U30" s="2" t="s">
        <v>376</v>
      </c>
      <c r="V30" s="2" t="s">
        <v>378</v>
      </c>
      <c r="W30" s="2" t="s">
        <v>378</v>
      </c>
      <c r="X30" s="2" t="s">
        <v>444</v>
      </c>
      <c r="Y30" s="2" t="s">
        <v>376</v>
      </c>
      <c r="Z30" s="2" t="s">
        <v>444</v>
      </c>
      <c r="AA30" s="2" t="s">
        <v>382</v>
      </c>
      <c r="AB30" s="2" t="s">
        <v>551</v>
      </c>
      <c r="AC30" s="2" t="s">
        <v>450</v>
      </c>
      <c r="AD30" s="2" t="s">
        <v>451</v>
      </c>
      <c r="AE30" s="2" t="s">
        <v>452</v>
      </c>
      <c r="AF30" s="2" t="s">
        <v>386</v>
      </c>
      <c r="AG30" s="2" t="s">
        <v>387</v>
      </c>
      <c r="AH30" s="2" t="s">
        <v>388</v>
      </c>
      <c r="AI30" s="2" t="s">
        <v>454</v>
      </c>
      <c r="AJ30" s="2" t="s">
        <v>33</v>
      </c>
      <c r="AK30" s="2" t="s">
        <v>33</v>
      </c>
      <c r="AL30" s="2">
        <v>5.0</v>
      </c>
      <c r="AM30" s="2">
        <v>4.0</v>
      </c>
      <c r="AN30" s="2">
        <v>4.0</v>
      </c>
      <c r="AO30" s="2">
        <v>1.0</v>
      </c>
      <c r="AP30" s="2">
        <v>3.0</v>
      </c>
      <c r="AQ30" s="2">
        <v>5.0</v>
      </c>
      <c r="AR30" s="2">
        <v>1.0</v>
      </c>
      <c r="AS30" s="2">
        <v>2.0</v>
      </c>
      <c r="AT30" s="2">
        <v>1.0</v>
      </c>
      <c r="AU30" s="2">
        <v>4.0</v>
      </c>
      <c r="AV30" s="2">
        <v>2.0</v>
      </c>
      <c r="AW30" s="2">
        <v>1.0</v>
      </c>
      <c r="AX30" s="2">
        <v>5.0</v>
      </c>
      <c r="AY30" s="2">
        <v>3.0</v>
      </c>
      <c r="AZ30" s="2">
        <v>4.0</v>
      </c>
      <c r="BA30" s="2">
        <v>5.0</v>
      </c>
      <c r="BB30" s="2">
        <v>5.0</v>
      </c>
      <c r="BC30" s="2">
        <v>2.0</v>
      </c>
      <c r="BD30" s="2">
        <v>2.0</v>
      </c>
      <c r="BE30" s="2">
        <v>3.0</v>
      </c>
      <c r="BF30" s="2">
        <v>1.0</v>
      </c>
      <c r="BG30" s="2">
        <v>1.0</v>
      </c>
      <c r="BH30" s="2">
        <v>1.0</v>
      </c>
      <c r="BI30" s="2">
        <v>1.0</v>
      </c>
      <c r="BJ30" s="2">
        <v>5.0</v>
      </c>
      <c r="BK30" s="2">
        <v>1.0</v>
      </c>
      <c r="BL30" s="2">
        <v>3.0</v>
      </c>
      <c r="BM30" s="2">
        <v>1.0</v>
      </c>
      <c r="BN30" s="2">
        <v>5.0</v>
      </c>
      <c r="BO30" s="2">
        <v>1.0</v>
      </c>
      <c r="BP30" s="2">
        <v>3.0</v>
      </c>
      <c r="BQ30" s="2" t="s">
        <v>389</v>
      </c>
      <c r="BR30" s="2" t="s">
        <v>390</v>
      </c>
      <c r="BS30" s="2" t="s">
        <v>393</v>
      </c>
      <c r="BT30" s="2" t="s">
        <v>396</v>
      </c>
      <c r="BU30" s="2" t="s">
        <v>33</v>
      </c>
      <c r="BV30" s="2" t="s">
        <v>33</v>
      </c>
      <c r="BW30" s="2" t="s">
        <v>33</v>
      </c>
      <c r="BX30" s="2" t="s">
        <v>33</v>
      </c>
      <c r="BY30" s="2" t="s">
        <v>33</v>
      </c>
      <c r="BZ30" s="2" t="s">
        <v>33</v>
      </c>
      <c r="CA30" s="2" t="s">
        <v>33</v>
      </c>
      <c r="CB30" s="2" t="s">
        <v>33</v>
      </c>
      <c r="CC30" s="2" t="s">
        <v>1319</v>
      </c>
      <c r="CD30" s="2">
        <v>4.0</v>
      </c>
      <c r="CE30" s="2" t="s">
        <v>33</v>
      </c>
      <c r="CF30" s="2" t="s">
        <v>33</v>
      </c>
      <c r="CG30" s="2" t="s">
        <v>999</v>
      </c>
      <c r="CH30" s="2" t="s">
        <v>33</v>
      </c>
      <c r="CI30" s="2" t="s">
        <v>33</v>
      </c>
      <c r="CJ30" s="2" t="s">
        <v>33</v>
      </c>
      <c r="CK30" s="2" t="s">
        <v>859</v>
      </c>
      <c r="CL30" s="2" t="s">
        <v>466</v>
      </c>
      <c r="CM30" s="4">
        <v>45310.0</v>
      </c>
      <c r="CN30" s="4">
        <v>45315.0</v>
      </c>
      <c r="CO30" s="2">
        <v>6.0</v>
      </c>
      <c r="CP30" s="2" t="s">
        <v>529</v>
      </c>
      <c r="CQ30" s="2" t="s">
        <v>441</v>
      </c>
      <c r="CR30" s="2" t="s">
        <v>442</v>
      </c>
      <c r="CS30" s="2" t="s">
        <v>529</v>
      </c>
      <c r="CT30" s="2" t="s">
        <v>368</v>
      </c>
      <c r="CU30" s="2" t="s">
        <v>372</v>
      </c>
    </row>
    <row r="31" ht="12.75" customHeight="1">
      <c r="A31" s="2">
        <v>30.0</v>
      </c>
      <c r="B31" s="2">
        <v>3.0</v>
      </c>
      <c r="C31" s="2" t="s">
        <v>358</v>
      </c>
      <c r="D31" s="2" t="s">
        <v>359</v>
      </c>
      <c r="E31" s="2" t="s">
        <v>801</v>
      </c>
      <c r="F31" s="2" t="s">
        <v>443</v>
      </c>
      <c r="G31" s="2" t="s">
        <v>443</v>
      </c>
      <c r="H31" s="2" t="s">
        <v>540</v>
      </c>
      <c r="I31" s="2" t="s">
        <v>363</v>
      </c>
      <c r="J31" s="2" t="s">
        <v>365</v>
      </c>
      <c r="K31" s="2" t="s">
        <v>366</v>
      </c>
      <c r="L31" s="2" t="s">
        <v>367</v>
      </c>
      <c r="M31" s="2" t="s">
        <v>645</v>
      </c>
      <c r="N31" s="2" t="s">
        <v>802</v>
      </c>
      <c r="O31" s="2" t="s">
        <v>442</v>
      </c>
      <c r="P31" s="2" t="s">
        <v>372</v>
      </c>
      <c r="Q31" s="2" t="s">
        <v>480</v>
      </c>
      <c r="R31" s="2" t="s">
        <v>480</v>
      </c>
      <c r="S31" s="2" t="s">
        <v>376</v>
      </c>
      <c r="T31" s="2" t="s">
        <v>376</v>
      </c>
      <c r="U31" s="2" t="s">
        <v>376</v>
      </c>
      <c r="V31" s="2" t="s">
        <v>376</v>
      </c>
      <c r="W31" s="2" t="s">
        <v>444</v>
      </c>
      <c r="X31" s="2" t="s">
        <v>376</v>
      </c>
      <c r="Y31" s="2" t="s">
        <v>378</v>
      </c>
      <c r="Z31" s="2" t="s">
        <v>376</v>
      </c>
      <c r="AA31" s="2" t="s">
        <v>382</v>
      </c>
      <c r="AB31" s="2" t="s">
        <v>551</v>
      </c>
      <c r="AC31" s="2" t="s">
        <v>1186</v>
      </c>
      <c r="AD31" s="2" t="s">
        <v>33</v>
      </c>
      <c r="AE31" s="2" t="s">
        <v>33</v>
      </c>
      <c r="AF31" s="2" t="s">
        <v>33</v>
      </c>
      <c r="AG31" s="2" t="s">
        <v>33</v>
      </c>
      <c r="AH31" s="2" t="s">
        <v>33</v>
      </c>
      <c r="AI31" s="2" t="s">
        <v>33</v>
      </c>
      <c r="AJ31" s="2" t="s">
        <v>33</v>
      </c>
      <c r="AK31" s="2" t="s">
        <v>33</v>
      </c>
      <c r="AL31" s="2">
        <v>3.0</v>
      </c>
      <c r="AM31" s="2">
        <v>3.0</v>
      </c>
      <c r="AN31" s="2">
        <v>3.0</v>
      </c>
      <c r="AO31" s="2">
        <v>3.0</v>
      </c>
      <c r="AP31" s="2">
        <v>3.0</v>
      </c>
      <c r="AQ31" s="2">
        <v>1.0</v>
      </c>
      <c r="AR31" s="2">
        <v>3.0</v>
      </c>
      <c r="AS31" s="2">
        <v>2.0</v>
      </c>
      <c r="AT31" s="2">
        <v>1.0</v>
      </c>
      <c r="AU31" s="2">
        <v>1.0</v>
      </c>
      <c r="AV31" s="2">
        <v>5.0</v>
      </c>
      <c r="AW31" s="2">
        <v>5.0</v>
      </c>
      <c r="AX31" s="2">
        <v>3.0</v>
      </c>
      <c r="AY31" s="2">
        <v>1.0</v>
      </c>
      <c r="AZ31" s="2">
        <v>1.0</v>
      </c>
      <c r="BA31" s="2">
        <v>5.0</v>
      </c>
      <c r="BB31" s="2">
        <v>1.0</v>
      </c>
      <c r="BC31" s="2">
        <v>1.0</v>
      </c>
      <c r="BD31" s="2">
        <v>3.0</v>
      </c>
      <c r="BE31" s="2">
        <v>4.0</v>
      </c>
      <c r="BF31" s="2">
        <v>1.0</v>
      </c>
      <c r="BG31" s="2">
        <v>1.0</v>
      </c>
      <c r="BH31" s="2">
        <v>1.0</v>
      </c>
      <c r="BI31" s="2">
        <v>1.0</v>
      </c>
      <c r="BJ31" s="2">
        <v>1.0</v>
      </c>
      <c r="BK31" s="2">
        <v>1.0</v>
      </c>
      <c r="BL31" s="2">
        <v>1.0</v>
      </c>
      <c r="BM31" s="2">
        <v>1.0</v>
      </c>
      <c r="BN31" s="2">
        <v>5.0</v>
      </c>
      <c r="BO31" s="2">
        <v>1.0</v>
      </c>
      <c r="BP31" s="2">
        <v>1.0</v>
      </c>
      <c r="BQ31" s="2" t="s">
        <v>389</v>
      </c>
      <c r="BR31" s="2" t="s">
        <v>390</v>
      </c>
      <c r="BS31" s="2" t="s">
        <v>391</v>
      </c>
      <c r="BT31" s="2" t="s">
        <v>392</v>
      </c>
      <c r="BU31" s="2" t="s">
        <v>393</v>
      </c>
      <c r="BV31" s="2" t="s">
        <v>395</v>
      </c>
      <c r="BW31" s="2" t="s">
        <v>33</v>
      </c>
      <c r="BX31" s="2" t="s">
        <v>33</v>
      </c>
      <c r="BY31" s="2" t="s">
        <v>33</v>
      </c>
      <c r="BZ31" s="2" t="s">
        <v>33</v>
      </c>
      <c r="CA31" s="2" t="s">
        <v>33</v>
      </c>
      <c r="CB31" s="2" t="s">
        <v>33</v>
      </c>
      <c r="CC31" s="2" t="s">
        <v>1346</v>
      </c>
      <c r="CD31" s="2">
        <v>4.0</v>
      </c>
      <c r="CE31" s="2" t="s">
        <v>952</v>
      </c>
      <c r="CF31" s="2" t="s">
        <v>1083</v>
      </c>
      <c r="CG31" s="2" t="s">
        <v>998</v>
      </c>
      <c r="CH31" s="2" t="s">
        <v>33</v>
      </c>
      <c r="CI31" s="2" t="s">
        <v>33</v>
      </c>
      <c r="CJ31" s="2" t="s">
        <v>33</v>
      </c>
      <c r="CK31" s="2" t="s">
        <v>425</v>
      </c>
      <c r="CL31" s="2" t="s">
        <v>367</v>
      </c>
      <c r="CM31" s="4">
        <v>45309.0</v>
      </c>
      <c r="CN31" s="4">
        <v>45312.0</v>
      </c>
      <c r="CO31" s="2">
        <v>4.0</v>
      </c>
      <c r="CP31" s="2" t="s">
        <v>529</v>
      </c>
      <c r="CQ31" s="2" t="s">
        <v>802</v>
      </c>
      <c r="CR31" s="2" t="s">
        <v>442</v>
      </c>
      <c r="CS31" s="2" t="s">
        <v>529</v>
      </c>
      <c r="CT31" s="2" t="s">
        <v>645</v>
      </c>
      <c r="CU31" s="2" t="s">
        <v>372</v>
      </c>
    </row>
    <row r="32" ht="12.75" customHeight="1">
      <c r="A32" s="2">
        <v>31.0</v>
      </c>
      <c r="B32" s="2">
        <v>6.0</v>
      </c>
      <c r="C32" s="2" t="s">
        <v>358</v>
      </c>
      <c r="D32" s="2" t="s">
        <v>359</v>
      </c>
      <c r="E32" s="2" t="s">
        <v>360</v>
      </c>
      <c r="F32" s="2" t="s">
        <v>539</v>
      </c>
      <c r="G32" s="2" t="s">
        <v>539</v>
      </c>
      <c r="H32" s="2" t="s">
        <v>540</v>
      </c>
      <c r="I32" s="2" t="s">
        <v>438</v>
      </c>
      <c r="J32" s="2" t="s">
        <v>438</v>
      </c>
      <c r="K32" s="2" t="s">
        <v>366</v>
      </c>
      <c r="L32" s="2" t="s">
        <v>440</v>
      </c>
      <c r="M32" s="2" t="s">
        <v>368</v>
      </c>
      <c r="N32" s="2" t="s">
        <v>441</v>
      </c>
      <c r="O32" s="2" t="s">
        <v>442</v>
      </c>
      <c r="P32" s="2" t="s">
        <v>762</v>
      </c>
      <c r="Q32" s="2" t="s">
        <v>361</v>
      </c>
      <c r="R32" s="2" t="s">
        <v>361</v>
      </c>
      <c r="S32" s="2" t="s">
        <v>376</v>
      </c>
      <c r="T32" s="2" t="s">
        <v>376</v>
      </c>
      <c r="U32" s="2" t="s">
        <v>378</v>
      </c>
      <c r="V32" s="2" t="s">
        <v>376</v>
      </c>
      <c r="W32" s="2" t="s">
        <v>444</v>
      </c>
      <c r="X32" s="2" t="s">
        <v>378</v>
      </c>
      <c r="Y32" s="2" t="s">
        <v>378</v>
      </c>
      <c r="Z32" s="2" t="s">
        <v>378</v>
      </c>
      <c r="AA32" s="2" t="s">
        <v>447</v>
      </c>
      <c r="AB32" s="2" t="s">
        <v>490</v>
      </c>
      <c r="AC32" s="2" t="s">
        <v>450</v>
      </c>
      <c r="AD32" s="2" t="s">
        <v>386</v>
      </c>
      <c r="AE32" s="2" t="s">
        <v>387</v>
      </c>
      <c r="AF32" s="2" t="s">
        <v>388</v>
      </c>
      <c r="AG32" s="2" t="s">
        <v>454</v>
      </c>
      <c r="AH32" s="2" t="s">
        <v>33</v>
      </c>
      <c r="AI32" s="2" t="s">
        <v>33</v>
      </c>
      <c r="AJ32" s="2" t="s">
        <v>33</v>
      </c>
      <c r="AK32" s="2" t="s">
        <v>33</v>
      </c>
      <c r="AL32" s="2">
        <v>2.0</v>
      </c>
      <c r="AM32" s="2">
        <v>3.0</v>
      </c>
      <c r="AN32" s="2">
        <v>3.0</v>
      </c>
      <c r="AO32" s="2">
        <v>3.0</v>
      </c>
      <c r="AP32" s="2">
        <v>3.0</v>
      </c>
      <c r="AQ32" s="2">
        <v>2.0</v>
      </c>
      <c r="AR32" s="2">
        <v>2.0</v>
      </c>
      <c r="AS32" s="2">
        <v>3.0</v>
      </c>
      <c r="AT32" s="2">
        <v>3.0</v>
      </c>
      <c r="AU32" s="2">
        <v>2.0</v>
      </c>
      <c r="AV32" s="2">
        <v>4.0</v>
      </c>
      <c r="AW32" s="2">
        <v>4.0</v>
      </c>
      <c r="AX32" s="2">
        <v>2.0</v>
      </c>
      <c r="AY32" s="2">
        <v>3.0</v>
      </c>
      <c r="AZ32" s="2">
        <v>2.0</v>
      </c>
      <c r="BA32" s="2">
        <v>4.0</v>
      </c>
      <c r="BB32" s="2">
        <v>1.0</v>
      </c>
      <c r="BC32" s="2">
        <v>1.0</v>
      </c>
      <c r="BD32" s="2">
        <v>1.0</v>
      </c>
      <c r="BE32" s="2">
        <v>4.0</v>
      </c>
      <c r="BF32" s="2">
        <v>1.0</v>
      </c>
      <c r="BG32" s="2">
        <v>1.0</v>
      </c>
      <c r="BH32" s="2">
        <v>1.0</v>
      </c>
      <c r="BI32" s="2">
        <v>1.0</v>
      </c>
      <c r="BJ32" s="2">
        <v>1.0</v>
      </c>
      <c r="BK32" s="2">
        <v>1.0</v>
      </c>
      <c r="BL32" s="2">
        <v>1.0</v>
      </c>
      <c r="BM32" s="2">
        <v>1.0</v>
      </c>
      <c r="BN32" s="2">
        <v>3.0</v>
      </c>
      <c r="BO32" s="2">
        <v>1.0</v>
      </c>
      <c r="BP32" s="2">
        <v>1.0</v>
      </c>
      <c r="BQ32" s="2" t="s">
        <v>568</v>
      </c>
      <c r="BR32" s="2" t="s">
        <v>389</v>
      </c>
      <c r="BS32" s="2" t="s">
        <v>390</v>
      </c>
      <c r="BT32" s="2" t="s">
        <v>391</v>
      </c>
      <c r="BU32" s="2" t="s">
        <v>392</v>
      </c>
      <c r="BV32" s="2" t="s">
        <v>393</v>
      </c>
      <c r="BW32" s="2" t="s">
        <v>395</v>
      </c>
      <c r="BX32" s="2" t="s">
        <v>519</v>
      </c>
      <c r="BY32" s="2" t="s">
        <v>396</v>
      </c>
      <c r="BZ32" s="2" t="s">
        <v>33</v>
      </c>
      <c r="CA32" s="2" t="s">
        <v>33</v>
      </c>
      <c r="CB32" s="2" t="s">
        <v>33</v>
      </c>
      <c r="CC32" s="2" t="s">
        <v>1365</v>
      </c>
      <c r="CD32" s="2">
        <v>4.0</v>
      </c>
      <c r="CE32" s="2" t="s">
        <v>794</v>
      </c>
      <c r="CF32" s="2" t="s">
        <v>952</v>
      </c>
      <c r="CG32" s="2" t="s">
        <v>1019</v>
      </c>
      <c r="CH32" s="2" t="s">
        <v>999</v>
      </c>
      <c r="CI32" s="2" t="s">
        <v>33</v>
      </c>
      <c r="CJ32" s="2" t="s">
        <v>33</v>
      </c>
      <c r="CK32" s="2" t="s">
        <v>438</v>
      </c>
      <c r="CL32" s="2" t="s">
        <v>466</v>
      </c>
      <c r="CM32" s="2" t="s">
        <v>33</v>
      </c>
      <c r="CN32" s="2" t="s">
        <v>33</v>
      </c>
      <c r="CO32" s="2" t="s">
        <v>33</v>
      </c>
      <c r="CP32" s="2" t="s">
        <v>434</v>
      </c>
      <c r="CQ32" s="2" t="s">
        <v>441</v>
      </c>
      <c r="CR32" s="2" t="s">
        <v>442</v>
      </c>
      <c r="CS32" s="2" t="s">
        <v>434</v>
      </c>
      <c r="CT32" s="2" t="s">
        <v>368</v>
      </c>
      <c r="CU32" s="2" t="s">
        <v>762</v>
      </c>
    </row>
    <row r="33" ht="12.75" customHeight="1">
      <c r="A33" s="2">
        <v>32.0</v>
      </c>
      <c r="B33" s="2">
        <v>1.0</v>
      </c>
      <c r="C33" s="2" t="s">
        <v>358</v>
      </c>
      <c r="D33" s="2" t="s">
        <v>359</v>
      </c>
      <c r="E33" s="2" t="s">
        <v>978</v>
      </c>
      <c r="F33" s="2" t="s">
        <v>606</v>
      </c>
      <c r="G33" s="2" t="s">
        <v>1372</v>
      </c>
      <c r="H33" s="2" t="s">
        <v>540</v>
      </c>
      <c r="I33" s="2" t="s">
        <v>1374</v>
      </c>
      <c r="J33" s="2" t="s">
        <v>599</v>
      </c>
      <c r="K33" s="2" t="s">
        <v>366</v>
      </c>
      <c r="L33" s="2" t="s">
        <v>599</v>
      </c>
      <c r="M33" s="2" t="s">
        <v>368</v>
      </c>
      <c r="N33" s="2" t="s">
        <v>802</v>
      </c>
      <c r="O33" s="2" t="s">
        <v>370</v>
      </c>
      <c r="P33" s="2" t="s">
        <v>762</v>
      </c>
      <c r="Q33" s="2" t="s">
        <v>606</v>
      </c>
      <c r="R33" s="2" t="s">
        <v>1378</v>
      </c>
      <c r="S33" s="2" t="s">
        <v>444</v>
      </c>
      <c r="T33" s="2" t="s">
        <v>378</v>
      </c>
      <c r="U33" s="2" t="s">
        <v>378</v>
      </c>
      <c r="V33" s="2" t="s">
        <v>378</v>
      </c>
      <c r="W33" s="2" t="s">
        <v>444</v>
      </c>
      <c r="X33" s="2" t="s">
        <v>378</v>
      </c>
      <c r="Y33" s="2" t="s">
        <v>444</v>
      </c>
      <c r="Z33" s="2" t="s">
        <v>444</v>
      </c>
      <c r="AA33" s="2" t="s">
        <v>447</v>
      </c>
      <c r="AB33" s="2" t="s">
        <v>1382</v>
      </c>
      <c r="AC33" s="2" t="s">
        <v>385</v>
      </c>
      <c r="AD33" s="2" t="s">
        <v>386</v>
      </c>
      <c r="AE33" s="2" t="s">
        <v>387</v>
      </c>
      <c r="AF33" s="2" t="s">
        <v>388</v>
      </c>
      <c r="AG33" s="2" t="s">
        <v>33</v>
      </c>
      <c r="AH33" s="2" t="s">
        <v>33</v>
      </c>
      <c r="AI33" s="2" t="s">
        <v>33</v>
      </c>
      <c r="AJ33" s="2" t="s">
        <v>33</v>
      </c>
      <c r="AK33" s="2" t="s">
        <v>33</v>
      </c>
      <c r="AL33" s="2">
        <v>2.0</v>
      </c>
      <c r="AM33" s="2">
        <v>2.0</v>
      </c>
      <c r="AN33" s="2">
        <v>2.0</v>
      </c>
      <c r="AO33" s="2">
        <v>3.0</v>
      </c>
      <c r="AP33" s="2">
        <v>3.0</v>
      </c>
      <c r="AQ33" s="2">
        <v>1.0</v>
      </c>
      <c r="AR33" s="2">
        <v>2.0</v>
      </c>
      <c r="AS33" s="2">
        <v>1.0</v>
      </c>
      <c r="AT33" s="2">
        <v>1.0</v>
      </c>
      <c r="AU33" s="2">
        <v>1.0</v>
      </c>
      <c r="AV33" s="2">
        <v>5.0</v>
      </c>
      <c r="AW33" s="2">
        <v>2.0</v>
      </c>
      <c r="AX33" s="2">
        <v>1.0</v>
      </c>
      <c r="AY33" s="2">
        <v>1.0</v>
      </c>
      <c r="AZ33" s="2">
        <v>1.0</v>
      </c>
      <c r="BA33" s="2">
        <v>3.0</v>
      </c>
      <c r="BB33" s="2">
        <v>1.0</v>
      </c>
      <c r="BC33" s="2">
        <v>3.0</v>
      </c>
      <c r="BD33" s="2">
        <v>3.0</v>
      </c>
      <c r="BE33" s="2">
        <v>5.0</v>
      </c>
      <c r="BF33" s="2">
        <v>2.0</v>
      </c>
      <c r="BG33" s="2">
        <v>2.0</v>
      </c>
      <c r="BH33" s="2">
        <v>1.0</v>
      </c>
      <c r="BI33" s="2">
        <v>1.0</v>
      </c>
      <c r="BJ33" s="2">
        <v>2.0</v>
      </c>
      <c r="BK33" s="2">
        <v>1.0</v>
      </c>
      <c r="BL33" s="2">
        <v>1.0</v>
      </c>
      <c r="BM33" s="2">
        <v>1.0</v>
      </c>
      <c r="BN33" s="2">
        <v>5.0</v>
      </c>
      <c r="BO33" s="2">
        <v>1.0</v>
      </c>
      <c r="BP33" s="2">
        <v>1.0</v>
      </c>
      <c r="BQ33" s="2" t="s">
        <v>389</v>
      </c>
      <c r="BR33" s="2" t="s">
        <v>390</v>
      </c>
      <c r="BS33" s="2" t="s">
        <v>391</v>
      </c>
      <c r="BT33" s="2" t="s">
        <v>392</v>
      </c>
      <c r="BU33" s="2" t="s">
        <v>393</v>
      </c>
      <c r="BV33" s="2" t="s">
        <v>519</v>
      </c>
      <c r="BW33" s="2" t="s">
        <v>396</v>
      </c>
      <c r="BX33" s="2" t="s">
        <v>33</v>
      </c>
      <c r="BY33" s="2" t="s">
        <v>33</v>
      </c>
      <c r="BZ33" s="2" t="s">
        <v>33</v>
      </c>
      <c r="CA33" s="2" t="s">
        <v>33</v>
      </c>
      <c r="CB33" s="2" t="s">
        <v>33</v>
      </c>
      <c r="CC33" s="3" t="s">
        <v>1389</v>
      </c>
      <c r="CD33" s="2">
        <v>5.0</v>
      </c>
      <c r="CE33" s="2" t="s">
        <v>33</v>
      </c>
      <c r="CF33" s="2" t="s">
        <v>33</v>
      </c>
      <c r="CG33" s="2" t="s">
        <v>1019</v>
      </c>
      <c r="CH33" s="2" t="s">
        <v>33</v>
      </c>
      <c r="CI33" s="2" t="s">
        <v>33</v>
      </c>
      <c r="CJ33" s="2" t="s">
        <v>33</v>
      </c>
      <c r="CK33" s="2" t="s">
        <v>1374</v>
      </c>
      <c r="CL33" s="2" t="s">
        <v>466</v>
      </c>
      <c r="CM33" s="4">
        <v>45311.0</v>
      </c>
      <c r="CN33" s="4">
        <v>45315.0</v>
      </c>
      <c r="CO33" s="2">
        <v>5.0</v>
      </c>
      <c r="CP33" s="2" t="s">
        <v>434</v>
      </c>
      <c r="CQ33" s="2" t="s">
        <v>802</v>
      </c>
      <c r="CR33" s="2" t="s">
        <v>370</v>
      </c>
      <c r="CS33" s="2" t="s">
        <v>434</v>
      </c>
      <c r="CT33" s="2" t="s">
        <v>368</v>
      </c>
      <c r="CU33" s="2" t="s">
        <v>762</v>
      </c>
    </row>
    <row r="34" ht="12.75" customHeight="1">
      <c r="A34" s="2">
        <v>33.0</v>
      </c>
      <c r="B34" s="2">
        <v>2.0</v>
      </c>
      <c r="C34" s="2" t="s">
        <v>358</v>
      </c>
      <c r="D34" s="2" t="s">
        <v>359</v>
      </c>
      <c r="E34" s="2" t="s">
        <v>473</v>
      </c>
      <c r="F34" s="2" t="s">
        <v>437</v>
      </c>
      <c r="G34" s="2" t="s">
        <v>437</v>
      </c>
      <c r="H34" s="2" t="s">
        <v>540</v>
      </c>
      <c r="I34" s="2" t="s">
        <v>859</v>
      </c>
      <c r="J34" s="2" t="s">
        <v>599</v>
      </c>
      <c r="K34" s="2" t="s">
        <v>366</v>
      </c>
      <c r="L34" s="2" t="s">
        <v>599</v>
      </c>
      <c r="M34" s="2" t="s">
        <v>368</v>
      </c>
      <c r="N34" s="2" t="s">
        <v>1025</v>
      </c>
      <c r="O34" s="2" t="s">
        <v>442</v>
      </c>
      <c r="P34" s="2" t="s">
        <v>860</v>
      </c>
      <c r="Q34" s="2" t="s">
        <v>480</v>
      </c>
      <c r="R34" s="2" t="s">
        <v>480</v>
      </c>
      <c r="S34" s="2" t="s">
        <v>444</v>
      </c>
      <c r="T34" s="2" t="s">
        <v>444</v>
      </c>
      <c r="U34" s="2" t="s">
        <v>444</v>
      </c>
      <c r="V34" s="2" t="s">
        <v>444</v>
      </c>
      <c r="W34" s="2" t="s">
        <v>444</v>
      </c>
      <c r="X34" s="2" t="s">
        <v>444</v>
      </c>
      <c r="Y34" s="2" t="s">
        <v>378</v>
      </c>
      <c r="Z34" s="2" t="s">
        <v>378</v>
      </c>
      <c r="AA34" s="2" t="s">
        <v>986</v>
      </c>
      <c r="AB34" s="2" t="s">
        <v>490</v>
      </c>
      <c r="AC34" s="2" t="s">
        <v>385</v>
      </c>
      <c r="AD34" s="2" t="s">
        <v>387</v>
      </c>
      <c r="AE34" s="2" t="s">
        <v>33</v>
      </c>
      <c r="AF34" s="2" t="s">
        <v>33</v>
      </c>
      <c r="AG34" s="2" t="s">
        <v>33</v>
      </c>
      <c r="AH34" s="2" t="s">
        <v>33</v>
      </c>
      <c r="AI34" s="2" t="s">
        <v>33</v>
      </c>
      <c r="AJ34" s="2" t="s">
        <v>33</v>
      </c>
      <c r="AK34" s="2" t="s">
        <v>33</v>
      </c>
      <c r="AL34" s="2">
        <v>3.0</v>
      </c>
      <c r="AM34" s="2">
        <v>3.0</v>
      </c>
      <c r="AN34" s="2">
        <v>1.0</v>
      </c>
      <c r="AO34" s="2">
        <v>2.0</v>
      </c>
      <c r="AP34" s="2">
        <v>4.0</v>
      </c>
      <c r="AQ34" s="2">
        <v>1.0</v>
      </c>
      <c r="AR34" s="2">
        <v>4.0</v>
      </c>
      <c r="AS34" s="2">
        <v>4.0</v>
      </c>
      <c r="AT34" s="2">
        <v>4.0</v>
      </c>
      <c r="AU34" s="2">
        <v>2.0</v>
      </c>
      <c r="AV34" s="2">
        <v>5.0</v>
      </c>
      <c r="AW34" s="2">
        <v>5.0</v>
      </c>
      <c r="AX34" s="2">
        <v>3.0</v>
      </c>
      <c r="AY34" s="2">
        <v>3.0</v>
      </c>
      <c r="AZ34" s="2">
        <v>3.0</v>
      </c>
      <c r="BA34" s="2">
        <v>2.0</v>
      </c>
      <c r="BB34" s="2">
        <v>4.0</v>
      </c>
      <c r="BC34" s="2">
        <v>3.0</v>
      </c>
      <c r="BD34" s="2">
        <v>3.0</v>
      </c>
      <c r="BE34" s="2">
        <v>5.0</v>
      </c>
      <c r="BF34" s="2">
        <v>1.0</v>
      </c>
      <c r="BG34" s="2">
        <v>1.0</v>
      </c>
      <c r="BH34" s="2">
        <v>1.0</v>
      </c>
      <c r="BI34" s="2">
        <v>1.0</v>
      </c>
      <c r="BJ34" s="2">
        <v>4.0</v>
      </c>
      <c r="BK34" s="2">
        <v>2.0</v>
      </c>
      <c r="BL34" s="2">
        <v>1.0</v>
      </c>
      <c r="BM34" s="2">
        <v>1.0</v>
      </c>
      <c r="BN34" s="2">
        <v>1.0</v>
      </c>
      <c r="BO34" s="2">
        <v>1.0</v>
      </c>
      <c r="BP34" s="2">
        <v>1.0</v>
      </c>
      <c r="BQ34" s="2" t="s">
        <v>390</v>
      </c>
      <c r="BR34" s="2" t="s">
        <v>392</v>
      </c>
      <c r="BS34" s="2" t="s">
        <v>393</v>
      </c>
      <c r="BT34" s="2" t="s">
        <v>730</v>
      </c>
      <c r="BU34" s="2" t="s">
        <v>33</v>
      </c>
      <c r="BV34" s="2" t="s">
        <v>33</v>
      </c>
      <c r="BW34" s="2" t="s">
        <v>33</v>
      </c>
      <c r="BX34" s="2" t="s">
        <v>33</v>
      </c>
      <c r="BY34" s="2" t="s">
        <v>33</v>
      </c>
      <c r="BZ34" s="2" t="s">
        <v>33</v>
      </c>
      <c r="CA34" s="2" t="s">
        <v>33</v>
      </c>
      <c r="CB34" s="2" t="s">
        <v>33</v>
      </c>
      <c r="CC34" s="2" t="s">
        <v>1413</v>
      </c>
      <c r="CD34" s="2">
        <v>5.0</v>
      </c>
      <c r="CE34" s="2" t="s">
        <v>794</v>
      </c>
      <c r="CF34" s="2" t="s">
        <v>952</v>
      </c>
      <c r="CG34" s="2" t="s">
        <v>998</v>
      </c>
      <c r="CH34" s="2" t="s">
        <v>999</v>
      </c>
      <c r="CI34" s="2" t="s">
        <v>33</v>
      </c>
      <c r="CJ34" s="2" t="s">
        <v>33</v>
      </c>
      <c r="CK34" s="2" t="s">
        <v>859</v>
      </c>
      <c r="CL34" s="2" t="s">
        <v>466</v>
      </c>
      <c r="CM34" s="4">
        <v>45313.0</v>
      </c>
      <c r="CN34" s="4">
        <v>45319.0</v>
      </c>
      <c r="CO34" s="2">
        <v>7.0</v>
      </c>
      <c r="CP34" s="2" t="s">
        <v>529</v>
      </c>
      <c r="CQ34" s="2" t="s">
        <v>1025</v>
      </c>
      <c r="CR34" s="2" t="s">
        <v>442</v>
      </c>
      <c r="CS34" s="2" t="s">
        <v>529</v>
      </c>
      <c r="CT34" s="2" t="s">
        <v>368</v>
      </c>
      <c r="CU34" s="2" t="s">
        <v>860</v>
      </c>
    </row>
    <row r="35" ht="12.75" customHeight="1">
      <c r="A35" s="2">
        <v>34.0</v>
      </c>
      <c r="B35" s="2">
        <v>13.0</v>
      </c>
      <c r="C35" s="2" t="s">
        <v>358</v>
      </c>
      <c r="D35" s="2" t="s">
        <v>359</v>
      </c>
      <c r="E35" s="2" t="s">
        <v>360</v>
      </c>
      <c r="F35" s="2" t="s">
        <v>539</v>
      </c>
      <c r="G35" s="2" t="s">
        <v>539</v>
      </c>
      <c r="H35" s="2" t="s">
        <v>362</v>
      </c>
      <c r="I35" s="2" t="s">
        <v>438</v>
      </c>
      <c r="J35" s="2" t="s">
        <v>438</v>
      </c>
      <c r="K35" s="2" t="s">
        <v>366</v>
      </c>
      <c r="L35" s="2" t="s">
        <v>440</v>
      </c>
      <c r="M35" s="2" t="s">
        <v>645</v>
      </c>
      <c r="N35" s="2" t="s">
        <v>369</v>
      </c>
      <c r="O35" s="2" t="s">
        <v>442</v>
      </c>
      <c r="P35" s="2" t="s">
        <v>1026</v>
      </c>
      <c r="Q35" s="2" t="s">
        <v>480</v>
      </c>
      <c r="R35" s="2" t="s">
        <v>480</v>
      </c>
      <c r="S35" s="2" t="s">
        <v>378</v>
      </c>
      <c r="T35" s="2" t="s">
        <v>376</v>
      </c>
      <c r="U35" s="2" t="s">
        <v>378</v>
      </c>
      <c r="V35" s="2" t="s">
        <v>378</v>
      </c>
      <c r="W35" s="2" t="s">
        <v>378</v>
      </c>
      <c r="X35" s="2" t="s">
        <v>444</v>
      </c>
      <c r="Y35" s="2" t="s">
        <v>444</v>
      </c>
      <c r="Z35" s="2" t="s">
        <v>376</v>
      </c>
      <c r="AA35" s="2" t="s">
        <v>447</v>
      </c>
      <c r="AB35" s="2" t="s">
        <v>490</v>
      </c>
      <c r="AC35" s="2" t="s">
        <v>450</v>
      </c>
      <c r="AD35" s="2" t="s">
        <v>451</v>
      </c>
      <c r="AE35" s="2" t="s">
        <v>452</v>
      </c>
      <c r="AF35" s="2" t="s">
        <v>386</v>
      </c>
      <c r="AG35" s="2" t="s">
        <v>387</v>
      </c>
      <c r="AH35" s="2" t="s">
        <v>388</v>
      </c>
      <c r="AI35" s="2" t="s">
        <v>454</v>
      </c>
      <c r="AJ35" s="2" t="s">
        <v>455</v>
      </c>
      <c r="AK35" s="2" t="s">
        <v>33</v>
      </c>
      <c r="AL35" s="2">
        <v>3.0</v>
      </c>
      <c r="AM35" s="2">
        <v>3.0</v>
      </c>
      <c r="AN35" s="2">
        <v>2.0</v>
      </c>
      <c r="AO35" s="2">
        <v>2.0</v>
      </c>
      <c r="AP35" s="2">
        <v>3.0</v>
      </c>
      <c r="AQ35" s="2">
        <v>1.0</v>
      </c>
      <c r="AR35" s="2">
        <v>2.0</v>
      </c>
      <c r="AS35" s="2">
        <v>3.0</v>
      </c>
      <c r="AT35" s="2">
        <v>2.0</v>
      </c>
      <c r="AU35" s="2">
        <v>1.0</v>
      </c>
      <c r="AV35" s="2">
        <v>3.0</v>
      </c>
      <c r="AW35" s="2">
        <v>2.0</v>
      </c>
      <c r="AX35" s="2">
        <v>2.0</v>
      </c>
      <c r="AY35" s="2">
        <v>3.0</v>
      </c>
      <c r="AZ35" s="2">
        <v>2.0</v>
      </c>
      <c r="BA35" s="2">
        <v>4.0</v>
      </c>
      <c r="BB35" s="2">
        <v>1.0</v>
      </c>
      <c r="BC35" s="2">
        <v>2.0</v>
      </c>
      <c r="BD35" s="2">
        <v>3.0</v>
      </c>
      <c r="BE35" s="2">
        <v>5.0</v>
      </c>
      <c r="BF35" s="2">
        <v>2.0</v>
      </c>
      <c r="BG35" s="2">
        <v>2.0</v>
      </c>
      <c r="BH35" s="2">
        <v>1.0</v>
      </c>
      <c r="BI35" s="2">
        <v>1.0</v>
      </c>
      <c r="BJ35" s="2">
        <v>1.0</v>
      </c>
      <c r="BK35" s="2">
        <v>1.0</v>
      </c>
      <c r="BL35" s="2">
        <v>1.0</v>
      </c>
      <c r="BM35" s="2">
        <v>1.0</v>
      </c>
      <c r="BN35" s="2">
        <v>2.0</v>
      </c>
      <c r="BO35" s="2">
        <v>1.0</v>
      </c>
      <c r="BP35" s="2">
        <v>2.0</v>
      </c>
      <c r="BQ35" s="2" t="s">
        <v>568</v>
      </c>
      <c r="BR35" s="2" t="s">
        <v>389</v>
      </c>
      <c r="BS35" s="2" t="s">
        <v>390</v>
      </c>
      <c r="BT35" s="2" t="s">
        <v>391</v>
      </c>
      <c r="BU35" s="2" t="s">
        <v>392</v>
      </c>
      <c r="BV35" s="2" t="s">
        <v>393</v>
      </c>
      <c r="BW35" s="2" t="s">
        <v>394</v>
      </c>
      <c r="BX35" s="2" t="s">
        <v>395</v>
      </c>
      <c r="BY35" s="2" t="s">
        <v>519</v>
      </c>
      <c r="BZ35" s="2" t="s">
        <v>396</v>
      </c>
      <c r="CA35" s="2" t="s">
        <v>730</v>
      </c>
      <c r="CB35" s="2" t="s">
        <v>33</v>
      </c>
      <c r="CC35" s="2" t="s">
        <v>1442</v>
      </c>
      <c r="CD35" s="2">
        <v>4.0</v>
      </c>
      <c r="CE35" s="2" t="s">
        <v>33</v>
      </c>
      <c r="CF35" s="2" t="s">
        <v>33</v>
      </c>
      <c r="CG35" s="2" t="s">
        <v>999</v>
      </c>
      <c r="CH35" s="2" t="s">
        <v>33</v>
      </c>
      <c r="CI35" s="2" t="s">
        <v>33</v>
      </c>
      <c r="CJ35" s="2" t="s">
        <v>33</v>
      </c>
      <c r="CK35" s="2" t="s">
        <v>438</v>
      </c>
      <c r="CL35" s="2" t="s">
        <v>466</v>
      </c>
      <c r="CM35" s="4">
        <v>45316.0</v>
      </c>
      <c r="CN35" s="4">
        <v>45321.0</v>
      </c>
      <c r="CO35" s="2">
        <v>6.0</v>
      </c>
      <c r="CP35" s="2" t="s">
        <v>529</v>
      </c>
      <c r="CQ35" s="2" t="s">
        <v>369</v>
      </c>
      <c r="CR35" s="2" t="s">
        <v>442</v>
      </c>
      <c r="CS35" s="2" t="s">
        <v>529</v>
      </c>
      <c r="CT35" s="2" t="s">
        <v>645</v>
      </c>
      <c r="CU35" s="2" t="s">
        <v>1026</v>
      </c>
    </row>
    <row r="36" ht="12.75" customHeight="1">
      <c r="A36" s="2">
        <v>35.0</v>
      </c>
      <c r="B36" s="2">
        <v>2.0</v>
      </c>
      <c r="C36" s="2" t="s">
        <v>358</v>
      </c>
      <c r="D36" s="2" t="s">
        <v>359</v>
      </c>
      <c r="E36" s="2" t="s">
        <v>360</v>
      </c>
      <c r="F36" s="2" t="s">
        <v>437</v>
      </c>
      <c r="G36" s="2" t="s">
        <v>437</v>
      </c>
      <c r="H36" s="2" t="s">
        <v>540</v>
      </c>
      <c r="I36" s="2" t="s">
        <v>1443</v>
      </c>
      <c r="J36" s="2" t="s">
        <v>1443</v>
      </c>
      <c r="K36" s="2" t="s">
        <v>1443</v>
      </c>
      <c r="L36" s="2" t="s">
        <v>984</v>
      </c>
      <c r="M36" s="2" t="s">
        <v>645</v>
      </c>
      <c r="N36" s="2" t="s">
        <v>369</v>
      </c>
      <c r="O36" s="2" t="s">
        <v>442</v>
      </c>
      <c r="P36" s="2" t="s">
        <v>372</v>
      </c>
      <c r="Q36" s="2" t="s">
        <v>480</v>
      </c>
      <c r="R36" s="2" t="s">
        <v>480</v>
      </c>
      <c r="S36" s="2" t="s">
        <v>376</v>
      </c>
      <c r="T36" s="2" t="s">
        <v>378</v>
      </c>
      <c r="U36" s="2" t="s">
        <v>376</v>
      </c>
      <c r="V36" s="2" t="s">
        <v>376</v>
      </c>
      <c r="W36" s="2" t="s">
        <v>444</v>
      </c>
      <c r="X36" s="2" t="s">
        <v>444</v>
      </c>
      <c r="Y36" s="2" t="s">
        <v>444</v>
      </c>
      <c r="Z36" s="2" t="s">
        <v>378</v>
      </c>
      <c r="AA36" s="2" t="s">
        <v>382</v>
      </c>
      <c r="AB36" s="2" t="s">
        <v>359</v>
      </c>
      <c r="AC36" s="2" t="s">
        <v>450</v>
      </c>
      <c r="AD36" s="2" t="s">
        <v>451</v>
      </c>
      <c r="AE36" s="2" t="s">
        <v>387</v>
      </c>
      <c r="AF36" s="2" t="s">
        <v>455</v>
      </c>
      <c r="AG36" s="2" t="s">
        <v>33</v>
      </c>
      <c r="AH36" s="2" t="s">
        <v>33</v>
      </c>
      <c r="AI36" s="2" t="s">
        <v>33</v>
      </c>
      <c r="AJ36" s="2" t="s">
        <v>33</v>
      </c>
      <c r="AK36" s="2" t="s">
        <v>33</v>
      </c>
      <c r="AL36" s="2">
        <v>2.0</v>
      </c>
      <c r="AM36" s="2">
        <v>3.0</v>
      </c>
      <c r="AN36" s="2">
        <v>1.0</v>
      </c>
      <c r="AO36" s="2">
        <v>1.0</v>
      </c>
      <c r="AP36" s="2">
        <v>1.0</v>
      </c>
      <c r="AQ36" s="2">
        <v>1.0</v>
      </c>
      <c r="AR36" s="2">
        <v>1.0</v>
      </c>
      <c r="AS36" s="2">
        <v>3.0</v>
      </c>
      <c r="AT36" s="2">
        <v>2.0</v>
      </c>
      <c r="AU36" s="2">
        <v>1.0</v>
      </c>
      <c r="AV36" s="2">
        <v>3.0</v>
      </c>
      <c r="AW36" s="2">
        <v>2.0</v>
      </c>
      <c r="AX36" s="2">
        <v>1.0</v>
      </c>
      <c r="AY36" s="2">
        <v>2.0</v>
      </c>
      <c r="AZ36" s="2">
        <v>2.0</v>
      </c>
      <c r="BA36" s="2">
        <v>3.0</v>
      </c>
      <c r="BB36" s="2">
        <v>1.0</v>
      </c>
      <c r="BC36" s="2">
        <v>2.0</v>
      </c>
      <c r="BD36" s="2">
        <v>3.0</v>
      </c>
      <c r="BE36" s="2">
        <v>4.0</v>
      </c>
      <c r="BF36" s="2">
        <v>2.0</v>
      </c>
      <c r="BG36" s="2">
        <v>2.0</v>
      </c>
      <c r="BH36" s="2">
        <v>5.0</v>
      </c>
      <c r="BI36" s="2">
        <v>2.0</v>
      </c>
      <c r="BJ36" s="2">
        <v>4.0</v>
      </c>
      <c r="BK36" s="2">
        <v>2.0</v>
      </c>
      <c r="BL36" s="2">
        <v>2.0</v>
      </c>
      <c r="BM36" s="2">
        <v>1.0</v>
      </c>
      <c r="BN36" s="2">
        <v>3.0</v>
      </c>
      <c r="BO36" s="2">
        <v>1.0</v>
      </c>
      <c r="BP36" s="2">
        <v>3.0</v>
      </c>
      <c r="BQ36" s="2" t="s">
        <v>389</v>
      </c>
      <c r="BR36" s="2" t="s">
        <v>390</v>
      </c>
      <c r="BS36" s="2" t="s">
        <v>395</v>
      </c>
      <c r="BT36" s="2" t="s">
        <v>33</v>
      </c>
      <c r="BU36" s="2" t="s">
        <v>33</v>
      </c>
      <c r="BV36" s="2" t="s">
        <v>33</v>
      </c>
      <c r="BW36" s="2" t="s">
        <v>33</v>
      </c>
      <c r="BX36" s="2" t="s">
        <v>33</v>
      </c>
      <c r="BY36" s="2" t="s">
        <v>33</v>
      </c>
      <c r="BZ36" s="2" t="s">
        <v>33</v>
      </c>
      <c r="CA36" s="2" t="s">
        <v>33</v>
      </c>
      <c r="CB36" s="2" t="s">
        <v>33</v>
      </c>
      <c r="CC36" s="2" t="s">
        <v>1446</v>
      </c>
      <c r="CD36" s="2">
        <v>3.0</v>
      </c>
      <c r="CE36" s="2" t="s">
        <v>33</v>
      </c>
      <c r="CF36" s="2" t="s">
        <v>1083</v>
      </c>
      <c r="CG36" s="2" t="s">
        <v>33</v>
      </c>
      <c r="CH36" s="2" t="s">
        <v>33</v>
      </c>
      <c r="CI36" s="2" t="s">
        <v>33</v>
      </c>
      <c r="CJ36" s="2" t="s">
        <v>33</v>
      </c>
      <c r="CK36" s="2" t="s">
        <v>1443</v>
      </c>
      <c r="CL36" s="2" t="s">
        <v>466</v>
      </c>
      <c r="CM36" s="4">
        <v>45325.0</v>
      </c>
      <c r="CN36" s="4">
        <v>45329.0</v>
      </c>
      <c r="CO36" s="2">
        <v>5.0</v>
      </c>
      <c r="CP36" s="2" t="s">
        <v>529</v>
      </c>
      <c r="CQ36" s="2" t="s">
        <v>369</v>
      </c>
      <c r="CR36" s="2" t="s">
        <v>442</v>
      </c>
      <c r="CS36" s="2" t="s">
        <v>529</v>
      </c>
      <c r="CT36" s="2" t="s">
        <v>645</v>
      </c>
      <c r="CU36" s="2" t="s">
        <v>372</v>
      </c>
    </row>
    <row r="37" ht="12.75" customHeight="1">
      <c r="A37" s="2">
        <v>36.0</v>
      </c>
      <c r="B37" s="2">
        <v>2.0</v>
      </c>
      <c r="C37" s="2" t="s">
        <v>358</v>
      </c>
      <c r="D37" s="2" t="s">
        <v>359</v>
      </c>
      <c r="E37" s="2" t="s">
        <v>360</v>
      </c>
      <c r="F37" s="2" t="s">
        <v>437</v>
      </c>
      <c r="G37" s="2" t="s">
        <v>437</v>
      </c>
      <c r="H37" s="2" t="s">
        <v>362</v>
      </c>
      <c r="I37" s="2" t="s">
        <v>1451</v>
      </c>
      <c r="J37" s="2" t="s">
        <v>1452</v>
      </c>
      <c r="K37" s="2" t="s">
        <v>1453</v>
      </c>
      <c r="L37" s="2" t="s">
        <v>1056</v>
      </c>
      <c r="M37" s="2" t="s">
        <v>368</v>
      </c>
      <c r="N37" s="2" t="s">
        <v>441</v>
      </c>
      <c r="O37" s="2" t="s">
        <v>442</v>
      </c>
      <c r="P37" s="2" t="s">
        <v>762</v>
      </c>
      <c r="Q37" s="2" t="s">
        <v>480</v>
      </c>
      <c r="R37" s="2" t="s">
        <v>480</v>
      </c>
      <c r="S37" s="2" t="s">
        <v>444</v>
      </c>
      <c r="T37" s="2" t="s">
        <v>378</v>
      </c>
      <c r="U37" s="2" t="s">
        <v>378</v>
      </c>
      <c r="V37" s="2" t="s">
        <v>378</v>
      </c>
      <c r="W37" s="2" t="s">
        <v>378</v>
      </c>
      <c r="X37" s="2" t="s">
        <v>444</v>
      </c>
      <c r="Y37" s="2" t="s">
        <v>444</v>
      </c>
      <c r="Z37" s="2" t="s">
        <v>444</v>
      </c>
      <c r="AA37" s="2" t="s">
        <v>986</v>
      </c>
      <c r="AB37" s="2" t="s">
        <v>1112</v>
      </c>
      <c r="AC37" s="2" t="s">
        <v>450</v>
      </c>
      <c r="AD37" s="2" t="s">
        <v>451</v>
      </c>
      <c r="AE37" s="2" t="s">
        <v>452</v>
      </c>
      <c r="AF37" s="2" t="s">
        <v>386</v>
      </c>
      <c r="AG37" s="2" t="s">
        <v>387</v>
      </c>
      <c r="AH37" s="2" t="s">
        <v>782</v>
      </c>
      <c r="AI37" s="2" t="s">
        <v>455</v>
      </c>
      <c r="AJ37" s="2" t="s">
        <v>33</v>
      </c>
      <c r="AK37" s="2" t="s">
        <v>33</v>
      </c>
      <c r="AL37" s="2">
        <v>5.0</v>
      </c>
      <c r="AM37" s="2">
        <v>5.0</v>
      </c>
      <c r="AN37" s="2">
        <v>1.0</v>
      </c>
      <c r="AO37" s="2">
        <v>5.0</v>
      </c>
      <c r="AP37" s="2">
        <v>5.0</v>
      </c>
      <c r="AQ37" s="2">
        <v>1.0</v>
      </c>
      <c r="AR37" s="2">
        <v>1.0</v>
      </c>
      <c r="AS37" s="2">
        <v>5.0</v>
      </c>
      <c r="AT37" s="2">
        <v>1.0</v>
      </c>
      <c r="AU37" s="2">
        <v>1.0</v>
      </c>
      <c r="AV37" s="2">
        <v>1.0</v>
      </c>
      <c r="AW37" s="2">
        <v>1.0</v>
      </c>
      <c r="AX37" s="2">
        <v>1.0</v>
      </c>
      <c r="AY37" s="2">
        <v>1.0</v>
      </c>
      <c r="AZ37" s="2">
        <v>1.0</v>
      </c>
      <c r="BA37" s="2">
        <v>1.0</v>
      </c>
      <c r="BB37" s="2">
        <v>1.0</v>
      </c>
      <c r="BC37" s="2">
        <v>1.0</v>
      </c>
      <c r="BD37" s="2">
        <v>1.0</v>
      </c>
      <c r="BE37" s="2">
        <v>3.0</v>
      </c>
      <c r="BF37" s="2">
        <v>1.0</v>
      </c>
      <c r="BG37" s="2">
        <v>1.0</v>
      </c>
      <c r="BH37" s="2">
        <v>1.0</v>
      </c>
      <c r="BI37" s="2">
        <v>1.0</v>
      </c>
      <c r="BJ37" s="2">
        <v>1.0</v>
      </c>
      <c r="BK37" s="2">
        <v>1.0</v>
      </c>
      <c r="BL37" s="2">
        <v>1.0</v>
      </c>
      <c r="BM37" s="2">
        <v>1.0</v>
      </c>
      <c r="BN37" s="2">
        <v>3.0</v>
      </c>
      <c r="BO37" s="2">
        <v>1.0</v>
      </c>
      <c r="BP37" s="2">
        <v>1.0</v>
      </c>
      <c r="BQ37" s="2" t="s">
        <v>389</v>
      </c>
      <c r="BR37" s="2" t="s">
        <v>390</v>
      </c>
      <c r="BS37" s="2" t="s">
        <v>391</v>
      </c>
      <c r="BT37" s="2" t="s">
        <v>392</v>
      </c>
      <c r="BU37" s="2" t="s">
        <v>393</v>
      </c>
      <c r="BV37" s="2" t="s">
        <v>396</v>
      </c>
      <c r="BW37" s="2" t="s">
        <v>33</v>
      </c>
      <c r="BX37" s="2" t="s">
        <v>33</v>
      </c>
      <c r="BY37" s="2" t="s">
        <v>33</v>
      </c>
      <c r="BZ37" s="2" t="s">
        <v>33</v>
      </c>
      <c r="CA37" s="2" t="s">
        <v>33</v>
      </c>
      <c r="CB37" s="2" t="s">
        <v>33</v>
      </c>
      <c r="CC37" s="2" t="s">
        <v>1465</v>
      </c>
      <c r="CD37" s="2">
        <v>4.0</v>
      </c>
      <c r="CE37" s="2" t="s">
        <v>794</v>
      </c>
      <c r="CF37" s="2" t="s">
        <v>952</v>
      </c>
      <c r="CG37" s="2" t="s">
        <v>998</v>
      </c>
      <c r="CH37" s="2" t="s">
        <v>33</v>
      </c>
      <c r="CI37" s="2" t="s">
        <v>33</v>
      </c>
      <c r="CJ37" s="2" t="s">
        <v>33</v>
      </c>
      <c r="CK37" s="2" t="s">
        <v>1451</v>
      </c>
      <c r="CL37" s="2" t="s">
        <v>466</v>
      </c>
      <c r="CM37" s="4">
        <v>45361.0</v>
      </c>
      <c r="CN37" s="4">
        <v>45365.0</v>
      </c>
      <c r="CO37" s="2">
        <v>5.0</v>
      </c>
      <c r="CP37" s="2" t="s">
        <v>529</v>
      </c>
      <c r="CQ37" s="2" t="s">
        <v>441</v>
      </c>
      <c r="CR37" s="2" t="s">
        <v>442</v>
      </c>
      <c r="CS37" s="2" t="s">
        <v>529</v>
      </c>
      <c r="CT37" s="2" t="s">
        <v>368</v>
      </c>
      <c r="CU37" s="2" t="s">
        <v>762</v>
      </c>
    </row>
    <row r="38" ht="12.75" customHeight="1">
      <c r="A38" s="2">
        <v>37.0</v>
      </c>
      <c r="B38" s="2">
        <v>5.0</v>
      </c>
      <c r="C38" s="2" t="s">
        <v>358</v>
      </c>
      <c r="D38" s="2" t="s">
        <v>359</v>
      </c>
      <c r="E38" s="2" t="s">
        <v>360</v>
      </c>
      <c r="F38" s="2" t="s">
        <v>443</v>
      </c>
      <c r="G38" s="2" t="s">
        <v>443</v>
      </c>
      <c r="H38" s="2" t="s">
        <v>362</v>
      </c>
      <c r="I38" s="2" t="s">
        <v>859</v>
      </c>
      <c r="J38" s="2" t="s">
        <v>599</v>
      </c>
      <c r="K38" s="2" t="s">
        <v>366</v>
      </c>
      <c r="L38" s="2" t="s">
        <v>599</v>
      </c>
      <c r="M38" s="2" t="s">
        <v>368</v>
      </c>
      <c r="N38" s="2" t="s">
        <v>369</v>
      </c>
      <c r="O38" s="2" t="s">
        <v>442</v>
      </c>
      <c r="P38" s="2" t="s">
        <v>1026</v>
      </c>
      <c r="Q38" s="2" t="s">
        <v>480</v>
      </c>
      <c r="R38" s="2" t="s">
        <v>480</v>
      </c>
      <c r="S38" s="2" t="s">
        <v>378</v>
      </c>
      <c r="T38" s="2" t="s">
        <v>378</v>
      </c>
      <c r="U38" s="2" t="s">
        <v>378</v>
      </c>
      <c r="V38" s="2" t="s">
        <v>378</v>
      </c>
      <c r="W38" s="2" t="s">
        <v>444</v>
      </c>
      <c r="X38" s="2" t="s">
        <v>444</v>
      </c>
      <c r="Y38" s="2" t="s">
        <v>444</v>
      </c>
      <c r="Z38" s="2" t="s">
        <v>444</v>
      </c>
      <c r="AA38" s="2" t="s">
        <v>447</v>
      </c>
      <c r="AB38" s="2" t="s">
        <v>1474</v>
      </c>
      <c r="AC38" s="2" t="s">
        <v>552</v>
      </c>
      <c r="AD38" s="2" t="s">
        <v>452</v>
      </c>
      <c r="AE38" s="2" t="s">
        <v>386</v>
      </c>
      <c r="AF38" s="2" t="s">
        <v>387</v>
      </c>
      <c r="AG38" s="2" t="s">
        <v>388</v>
      </c>
      <c r="AH38" s="2" t="s">
        <v>454</v>
      </c>
      <c r="AI38" s="2" t="s">
        <v>455</v>
      </c>
      <c r="AJ38" s="2" t="s">
        <v>33</v>
      </c>
      <c r="AK38" s="2" t="s">
        <v>33</v>
      </c>
      <c r="AL38" s="2">
        <v>1.0</v>
      </c>
      <c r="AM38" s="2">
        <v>4.0</v>
      </c>
      <c r="AN38" s="2">
        <v>2.0</v>
      </c>
      <c r="AO38" s="2">
        <v>3.0</v>
      </c>
      <c r="AP38" s="2">
        <v>4.0</v>
      </c>
      <c r="AQ38" s="2">
        <v>2.0</v>
      </c>
      <c r="AR38" s="2">
        <v>3.0</v>
      </c>
      <c r="AS38" s="2">
        <v>3.0</v>
      </c>
      <c r="AT38" s="2">
        <v>1.0</v>
      </c>
      <c r="AU38" s="2">
        <v>2.0</v>
      </c>
      <c r="AV38" s="2">
        <v>2.0</v>
      </c>
      <c r="AW38" s="2">
        <v>2.0</v>
      </c>
      <c r="AX38" s="2">
        <v>3.0</v>
      </c>
      <c r="AY38" s="2">
        <v>3.0</v>
      </c>
      <c r="AZ38" s="2">
        <v>3.0</v>
      </c>
      <c r="BA38" s="2">
        <v>3.0</v>
      </c>
      <c r="BB38" s="2">
        <v>3.0</v>
      </c>
      <c r="BC38" s="2">
        <v>1.0</v>
      </c>
      <c r="BD38" s="2">
        <v>1.0</v>
      </c>
      <c r="BE38" s="2">
        <v>3.0</v>
      </c>
      <c r="BF38" s="2">
        <v>1.0</v>
      </c>
      <c r="BG38" s="2">
        <v>1.0</v>
      </c>
      <c r="BH38" s="2">
        <v>1.0</v>
      </c>
      <c r="BI38" s="2">
        <v>1.0</v>
      </c>
      <c r="BJ38" s="2">
        <v>3.0</v>
      </c>
      <c r="BK38" s="2">
        <v>1.0</v>
      </c>
      <c r="BL38" s="2">
        <v>2.0</v>
      </c>
      <c r="BM38" s="2">
        <v>2.0</v>
      </c>
      <c r="BN38" s="2">
        <v>1.0</v>
      </c>
      <c r="BO38" s="2">
        <v>1.0</v>
      </c>
      <c r="BP38" s="2">
        <v>1.0</v>
      </c>
      <c r="BQ38" s="2" t="s">
        <v>568</v>
      </c>
      <c r="BR38" s="2" t="s">
        <v>389</v>
      </c>
      <c r="BS38" s="2" t="s">
        <v>390</v>
      </c>
      <c r="BT38" s="2" t="s">
        <v>391</v>
      </c>
      <c r="BU38" s="2" t="s">
        <v>392</v>
      </c>
      <c r="BV38" s="2" t="s">
        <v>393</v>
      </c>
      <c r="BW38" s="2" t="s">
        <v>396</v>
      </c>
      <c r="BX38" s="2" t="s">
        <v>33</v>
      </c>
      <c r="BY38" s="2" t="s">
        <v>33</v>
      </c>
      <c r="BZ38" s="2" t="s">
        <v>33</v>
      </c>
      <c r="CA38" s="2" t="s">
        <v>33</v>
      </c>
      <c r="CB38" s="2" t="s">
        <v>33</v>
      </c>
      <c r="CC38" s="2" t="s">
        <v>1485</v>
      </c>
      <c r="CD38" s="2">
        <v>4.0</v>
      </c>
      <c r="CE38" s="2" t="s">
        <v>794</v>
      </c>
      <c r="CF38" s="2" t="s">
        <v>1083</v>
      </c>
      <c r="CG38" s="2" t="s">
        <v>999</v>
      </c>
      <c r="CH38" s="2" t="s">
        <v>1000</v>
      </c>
      <c r="CI38" s="2" t="s">
        <v>33</v>
      </c>
      <c r="CJ38" s="2" t="s">
        <v>33</v>
      </c>
      <c r="CK38" s="2" t="s">
        <v>859</v>
      </c>
      <c r="CL38" s="2" t="s">
        <v>466</v>
      </c>
      <c r="CM38" s="2" t="s">
        <v>33</v>
      </c>
      <c r="CN38" s="2" t="s">
        <v>33</v>
      </c>
      <c r="CO38" s="2" t="s">
        <v>33</v>
      </c>
      <c r="CP38" s="2" t="s">
        <v>529</v>
      </c>
      <c r="CQ38" s="2" t="s">
        <v>369</v>
      </c>
      <c r="CR38" s="2" t="s">
        <v>442</v>
      </c>
      <c r="CS38" s="2" t="s">
        <v>529</v>
      </c>
      <c r="CT38" s="2" t="s">
        <v>368</v>
      </c>
      <c r="CU38" s="2" t="s">
        <v>1026</v>
      </c>
    </row>
    <row r="39" ht="12.75" customHeight="1">
      <c r="A39" s="2">
        <v>38.0</v>
      </c>
      <c r="B39" s="2">
        <v>2.0</v>
      </c>
      <c r="C39" s="2" t="s">
        <v>358</v>
      </c>
      <c r="D39" s="2" t="s">
        <v>359</v>
      </c>
      <c r="E39" s="2" t="s">
        <v>360</v>
      </c>
      <c r="F39" s="2" t="s">
        <v>437</v>
      </c>
      <c r="G39" s="2" t="s">
        <v>437</v>
      </c>
      <c r="H39" s="2" t="s">
        <v>540</v>
      </c>
      <c r="I39" s="2" t="s">
        <v>363</v>
      </c>
      <c r="J39" s="2" t="s">
        <v>365</v>
      </c>
      <c r="K39" s="2" t="s">
        <v>366</v>
      </c>
      <c r="L39" s="2" t="s">
        <v>367</v>
      </c>
      <c r="M39" s="2" t="s">
        <v>368</v>
      </c>
      <c r="N39" s="2" t="s">
        <v>441</v>
      </c>
      <c r="O39" s="2" t="s">
        <v>479</v>
      </c>
      <c r="P39" s="2" t="s">
        <v>1026</v>
      </c>
      <c r="Q39" s="2" t="s">
        <v>480</v>
      </c>
      <c r="R39" s="2" t="s">
        <v>480</v>
      </c>
      <c r="S39" s="2" t="s">
        <v>444</v>
      </c>
      <c r="T39" s="2" t="s">
        <v>378</v>
      </c>
      <c r="U39" s="2" t="s">
        <v>378</v>
      </c>
      <c r="V39" s="2" t="s">
        <v>378</v>
      </c>
      <c r="W39" s="2" t="s">
        <v>444</v>
      </c>
      <c r="X39" s="2" t="s">
        <v>444</v>
      </c>
      <c r="Y39" s="2" t="s">
        <v>444</v>
      </c>
      <c r="Z39" s="2" t="s">
        <v>444</v>
      </c>
      <c r="AA39" s="2" t="s">
        <v>382</v>
      </c>
      <c r="AB39" s="2" t="s">
        <v>551</v>
      </c>
      <c r="AC39" s="2" t="s">
        <v>1141</v>
      </c>
      <c r="AD39" s="2" t="s">
        <v>33</v>
      </c>
      <c r="AE39" s="2" t="s">
        <v>33</v>
      </c>
      <c r="AF39" s="2" t="s">
        <v>33</v>
      </c>
      <c r="AG39" s="2" t="s">
        <v>33</v>
      </c>
      <c r="AH39" s="2" t="s">
        <v>33</v>
      </c>
      <c r="AI39" s="2" t="s">
        <v>33</v>
      </c>
      <c r="AJ39" s="2" t="s">
        <v>33</v>
      </c>
      <c r="AK39" s="2" t="s">
        <v>33</v>
      </c>
      <c r="AL39" s="2">
        <v>4.0</v>
      </c>
      <c r="AM39" s="2">
        <v>1.0</v>
      </c>
      <c r="AN39" s="2">
        <v>1.0</v>
      </c>
      <c r="AO39" s="2">
        <v>1.0</v>
      </c>
      <c r="AP39" s="2">
        <v>1.0</v>
      </c>
      <c r="AQ39" s="2">
        <v>1.0</v>
      </c>
      <c r="AR39" s="2">
        <v>1.0</v>
      </c>
      <c r="AS39" s="2">
        <v>1.0</v>
      </c>
      <c r="AT39" s="2">
        <v>1.0</v>
      </c>
      <c r="AU39" s="2">
        <v>1.0</v>
      </c>
      <c r="AV39" s="2">
        <v>4.0</v>
      </c>
      <c r="AW39" s="2">
        <v>4.0</v>
      </c>
      <c r="AX39" s="2">
        <v>4.0</v>
      </c>
      <c r="AY39" s="2">
        <v>1.0</v>
      </c>
      <c r="AZ39" s="2">
        <v>1.0</v>
      </c>
      <c r="BA39" s="2">
        <v>1.0</v>
      </c>
      <c r="BB39" s="2">
        <v>1.0</v>
      </c>
      <c r="BC39" s="2">
        <v>1.0</v>
      </c>
      <c r="BD39" s="2">
        <v>1.0</v>
      </c>
      <c r="BE39" s="2">
        <v>4.0</v>
      </c>
      <c r="BF39" s="2">
        <v>1.0</v>
      </c>
      <c r="BG39" s="2">
        <v>1.0</v>
      </c>
      <c r="BH39" s="2">
        <v>1.0</v>
      </c>
      <c r="BI39" s="2">
        <v>1.0</v>
      </c>
      <c r="BJ39" s="2">
        <v>1.0</v>
      </c>
      <c r="BK39" s="2">
        <v>1.0</v>
      </c>
      <c r="BL39" s="2">
        <v>1.0</v>
      </c>
      <c r="BM39" s="2">
        <v>1.0</v>
      </c>
      <c r="BN39" s="2">
        <v>4.0</v>
      </c>
      <c r="BO39" s="2">
        <v>1.0</v>
      </c>
      <c r="BP39" s="2">
        <v>1.0</v>
      </c>
      <c r="BQ39" s="2" t="s">
        <v>389</v>
      </c>
      <c r="BR39" s="2" t="s">
        <v>390</v>
      </c>
      <c r="BS39" s="2" t="s">
        <v>393</v>
      </c>
      <c r="BT39" s="2" t="s">
        <v>396</v>
      </c>
      <c r="BU39" s="2" t="s">
        <v>33</v>
      </c>
      <c r="BV39" s="2" t="s">
        <v>33</v>
      </c>
      <c r="BW39" s="2" t="s">
        <v>33</v>
      </c>
      <c r="BX39" s="2" t="s">
        <v>33</v>
      </c>
      <c r="BY39" s="2" t="s">
        <v>33</v>
      </c>
      <c r="BZ39" s="2" t="s">
        <v>33</v>
      </c>
      <c r="CA39" s="2" t="s">
        <v>33</v>
      </c>
      <c r="CB39" s="2" t="s">
        <v>33</v>
      </c>
      <c r="CC39" s="2" t="s">
        <v>1501</v>
      </c>
      <c r="CD39" s="2">
        <v>3.0</v>
      </c>
      <c r="CE39" s="2" t="s">
        <v>952</v>
      </c>
      <c r="CF39" s="2" t="s">
        <v>33</v>
      </c>
      <c r="CG39" s="2" t="s">
        <v>33</v>
      </c>
      <c r="CH39" s="2" t="s">
        <v>33</v>
      </c>
      <c r="CI39" s="2" t="s">
        <v>33</v>
      </c>
      <c r="CJ39" s="2" t="s">
        <v>33</v>
      </c>
      <c r="CK39" s="2" t="s">
        <v>425</v>
      </c>
      <c r="CL39" s="2" t="s">
        <v>367</v>
      </c>
      <c r="CM39" s="4">
        <v>45381.0</v>
      </c>
      <c r="CN39" s="4">
        <v>45383.0</v>
      </c>
      <c r="CO39" s="2">
        <v>3.0</v>
      </c>
      <c r="CP39" s="2" t="s">
        <v>529</v>
      </c>
      <c r="CQ39" s="2" t="s">
        <v>441</v>
      </c>
      <c r="CR39" s="2" t="s">
        <v>479</v>
      </c>
      <c r="CS39" s="2" t="s">
        <v>529</v>
      </c>
      <c r="CT39" s="2" t="s">
        <v>368</v>
      </c>
      <c r="CU39" s="2" t="s">
        <v>1026</v>
      </c>
    </row>
    <row r="40" ht="12.75" customHeight="1">
      <c r="A40" s="2">
        <v>39.0</v>
      </c>
      <c r="B40" s="2">
        <v>2.0</v>
      </c>
      <c r="C40" s="2" t="s">
        <v>358</v>
      </c>
      <c r="D40" s="2" t="s">
        <v>359</v>
      </c>
      <c r="E40" s="2" t="s">
        <v>360</v>
      </c>
      <c r="F40" s="2" t="s">
        <v>437</v>
      </c>
      <c r="G40" s="2" t="s">
        <v>437</v>
      </c>
      <c r="H40" s="2" t="s">
        <v>540</v>
      </c>
      <c r="I40" s="2" t="s">
        <v>363</v>
      </c>
      <c r="J40" s="2" t="s">
        <v>365</v>
      </c>
      <c r="K40" s="2" t="s">
        <v>366</v>
      </c>
      <c r="L40" s="2" t="s">
        <v>367</v>
      </c>
      <c r="M40" s="2" t="s">
        <v>368</v>
      </c>
      <c r="N40" s="2" t="s">
        <v>441</v>
      </c>
      <c r="O40" s="2" t="s">
        <v>442</v>
      </c>
      <c r="P40" s="2" t="s">
        <v>372</v>
      </c>
      <c r="Q40" s="2" t="s">
        <v>480</v>
      </c>
      <c r="R40" s="2" t="s">
        <v>480</v>
      </c>
      <c r="S40" s="2" t="s">
        <v>378</v>
      </c>
      <c r="T40" s="2" t="s">
        <v>378</v>
      </c>
      <c r="U40" s="2" t="s">
        <v>378</v>
      </c>
      <c r="V40" s="2" t="s">
        <v>378</v>
      </c>
      <c r="W40" s="2" t="s">
        <v>378</v>
      </c>
      <c r="X40" s="2" t="s">
        <v>444</v>
      </c>
      <c r="Y40" s="2" t="s">
        <v>444</v>
      </c>
      <c r="Z40" s="2" t="s">
        <v>378</v>
      </c>
      <c r="AA40" s="2" t="s">
        <v>382</v>
      </c>
      <c r="AB40" s="2" t="s">
        <v>490</v>
      </c>
      <c r="AC40" s="2" t="s">
        <v>450</v>
      </c>
      <c r="AD40" s="2" t="s">
        <v>452</v>
      </c>
      <c r="AE40" s="2" t="s">
        <v>386</v>
      </c>
      <c r="AF40" s="2" t="s">
        <v>387</v>
      </c>
      <c r="AG40" s="2" t="s">
        <v>388</v>
      </c>
      <c r="AH40" s="2" t="s">
        <v>454</v>
      </c>
      <c r="AI40" s="2" t="s">
        <v>455</v>
      </c>
      <c r="AJ40" s="2" t="s">
        <v>33</v>
      </c>
      <c r="AK40" s="2" t="s">
        <v>33</v>
      </c>
      <c r="AL40" s="2">
        <v>2.0</v>
      </c>
      <c r="AM40" s="2">
        <v>3.0</v>
      </c>
      <c r="AN40" s="2">
        <v>1.0</v>
      </c>
      <c r="AO40" s="2">
        <v>3.0</v>
      </c>
      <c r="AP40" s="2">
        <v>5.0</v>
      </c>
      <c r="AQ40" s="2">
        <v>1.0</v>
      </c>
      <c r="AR40" s="2">
        <v>2.0</v>
      </c>
      <c r="AS40" s="2">
        <v>2.0</v>
      </c>
      <c r="AT40" s="2">
        <v>3.0</v>
      </c>
      <c r="AU40" s="2">
        <v>1.0</v>
      </c>
      <c r="AV40" s="2">
        <v>5.0</v>
      </c>
      <c r="AW40" s="2">
        <v>5.0</v>
      </c>
      <c r="AX40" s="2">
        <v>1.0</v>
      </c>
      <c r="AY40" s="2">
        <v>1.0</v>
      </c>
      <c r="AZ40" s="2">
        <v>1.0</v>
      </c>
      <c r="BA40" s="2">
        <v>3.0</v>
      </c>
      <c r="BB40" s="2">
        <v>1.0</v>
      </c>
      <c r="BC40" s="2">
        <v>1.0</v>
      </c>
      <c r="BD40" s="2">
        <v>3.0</v>
      </c>
      <c r="BE40" s="2">
        <v>5.0</v>
      </c>
      <c r="BF40" s="2">
        <v>1.0</v>
      </c>
      <c r="BG40" s="2">
        <v>1.0</v>
      </c>
      <c r="BH40" s="2">
        <v>1.0</v>
      </c>
      <c r="BI40" s="2">
        <v>1.0</v>
      </c>
      <c r="BJ40" s="2">
        <v>1.0</v>
      </c>
      <c r="BK40" s="2">
        <v>1.0</v>
      </c>
      <c r="BL40" s="2">
        <v>1.0</v>
      </c>
      <c r="BM40" s="2">
        <v>1.0</v>
      </c>
      <c r="BN40" s="2">
        <v>5.0</v>
      </c>
      <c r="BO40" s="2">
        <v>1.0</v>
      </c>
      <c r="BP40" s="2">
        <v>1.0</v>
      </c>
      <c r="BQ40" s="2" t="s">
        <v>568</v>
      </c>
      <c r="BR40" s="2" t="s">
        <v>389</v>
      </c>
      <c r="BS40" s="2" t="s">
        <v>390</v>
      </c>
      <c r="BT40" s="2" t="s">
        <v>391</v>
      </c>
      <c r="BU40" s="2" t="s">
        <v>392</v>
      </c>
      <c r="BV40" s="2" t="s">
        <v>393</v>
      </c>
      <c r="BW40" s="2" t="s">
        <v>395</v>
      </c>
      <c r="BX40" s="2" t="s">
        <v>396</v>
      </c>
      <c r="BY40" s="2" t="s">
        <v>33</v>
      </c>
      <c r="BZ40" s="2" t="s">
        <v>33</v>
      </c>
      <c r="CA40" s="2" t="s">
        <v>33</v>
      </c>
      <c r="CB40" s="2" t="s">
        <v>33</v>
      </c>
      <c r="CC40" s="2" t="s">
        <v>1512</v>
      </c>
      <c r="CD40" s="2">
        <v>3.0</v>
      </c>
      <c r="CE40" s="2" t="s">
        <v>794</v>
      </c>
      <c r="CF40" s="2" t="s">
        <v>952</v>
      </c>
      <c r="CG40" s="2" t="s">
        <v>998</v>
      </c>
      <c r="CH40" s="2" t="s">
        <v>33</v>
      </c>
      <c r="CI40" s="2" t="s">
        <v>33</v>
      </c>
      <c r="CJ40" s="2" t="s">
        <v>33</v>
      </c>
      <c r="CK40" s="2" t="s">
        <v>425</v>
      </c>
      <c r="CL40" s="2" t="s">
        <v>367</v>
      </c>
      <c r="CM40" s="4">
        <v>45374.0</v>
      </c>
      <c r="CN40" s="4">
        <v>45377.0</v>
      </c>
      <c r="CO40" s="2">
        <v>4.0</v>
      </c>
      <c r="CP40" s="2" t="s">
        <v>529</v>
      </c>
      <c r="CQ40" s="2" t="s">
        <v>441</v>
      </c>
      <c r="CR40" s="2" t="s">
        <v>442</v>
      </c>
      <c r="CS40" s="2" t="s">
        <v>529</v>
      </c>
      <c r="CT40" s="2" t="s">
        <v>368</v>
      </c>
      <c r="CU40" s="2" t="s">
        <v>372</v>
      </c>
    </row>
    <row r="41" ht="12.75" customHeight="1">
      <c r="A41" s="2">
        <v>40.0</v>
      </c>
      <c r="B41" s="2">
        <v>1.0</v>
      </c>
      <c r="C41" s="2" t="s">
        <v>358</v>
      </c>
      <c r="D41" s="2" t="s">
        <v>359</v>
      </c>
      <c r="E41" s="2" t="s">
        <v>473</v>
      </c>
      <c r="F41" s="2" t="s">
        <v>437</v>
      </c>
      <c r="G41" s="2" t="s">
        <v>437</v>
      </c>
      <c r="H41" s="2" t="s">
        <v>540</v>
      </c>
      <c r="I41" s="2" t="s">
        <v>363</v>
      </c>
      <c r="J41" s="2" t="s">
        <v>365</v>
      </c>
      <c r="K41" s="2" t="s">
        <v>366</v>
      </c>
      <c r="L41" s="2" t="s">
        <v>367</v>
      </c>
      <c r="M41" s="2" t="s">
        <v>368</v>
      </c>
      <c r="N41" s="2" t="s">
        <v>441</v>
      </c>
      <c r="O41" s="2" t="s">
        <v>479</v>
      </c>
      <c r="P41" s="2" t="s">
        <v>762</v>
      </c>
      <c r="Q41" s="2" t="s">
        <v>480</v>
      </c>
      <c r="R41" s="2" t="s">
        <v>480</v>
      </c>
      <c r="S41" s="2" t="s">
        <v>444</v>
      </c>
      <c r="T41" s="2" t="s">
        <v>376</v>
      </c>
      <c r="U41" s="2" t="s">
        <v>378</v>
      </c>
      <c r="V41" s="2" t="s">
        <v>378</v>
      </c>
      <c r="W41" s="2" t="s">
        <v>444</v>
      </c>
      <c r="X41" s="2" t="s">
        <v>376</v>
      </c>
      <c r="Y41" s="2" t="s">
        <v>444</v>
      </c>
      <c r="Z41" s="2" t="s">
        <v>444</v>
      </c>
      <c r="AA41" s="2" t="s">
        <v>382</v>
      </c>
      <c r="AB41" s="2" t="s">
        <v>551</v>
      </c>
      <c r="AC41" s="2" t="s">
        <v>450</v>
      </c>
      <c r="AD41" s="2" t="s">
        <v>451</v>
      </c>
      <c r="AE41" s="2" t="s">
        <v>452</v>
      </c>
      <c r="AF41" s="2" t="s">
        <v>386</v>
      </c>
      <c r="AG41" s="2" t="s">
        <v>387</v>
      </c>
      <c r="AH41" s="2" t="s">
        <v>388</v>
      </c>
      <c r="AI41" s="2" t="s">
        <v>455</v>
      </c>
      <c r="AJ41" s="2" t="s">
        <v>33</v>
      </c>
      <c r="AK41" s="2" t="s">
        <v>33</v>
      </c>
      <c r="AL41" s="2">
        <v>4.0</v>
      </c>
      <c r="AM41" s="2">
        <v>1.0</v>
      </c>
      <c r="AN41" s="2">
        <v>4.0</v>
      </c>
      <c r="AO41" s="2">
        <v>5.0</v>
      </c>
      <c r="AP41" s="2">
        <v>4.0</v>
      </c>
      <c r="AQ41" s="2">
        <v>5.0</v>
      </c>
      <c r="AR41" s="2">
        <v>3.0</v>
      </c>
      <c r="AS41" s="2">
        <v>2.0</v>
      </c>
      <c r="AT41" s="2">
        <v>3.0</v>
      </c>
      <c r="AU41" s="2">
        <v>4.0</v>
      </c>
      <c r="AV41" s="2">
        <v>2.0</v>
      </c>
      <c r="AW41" s="2">
        <v>4.0</v>
      </c>
      <c r="AX41" s="2">
        <v>3.0</v>
      </c>
      <c r="AY41" s="2">
        <v>3.0</v>
      </c>
      <c r="AZ41" s="2">
        <v>4.0</v>
      </c>
      <c r="BA41" s="2">
        <v>3.0</v>
      </c>
      <c r="BB41" s="2">
        <v>5.0</v>
      </c>
      <c r="BC41" s="2">
        <v>5.0</v>
      </c>
      <c r="BD41" s="2">
        <v>5.0</v>
      </c>
      <c r="BE41" s="2">
        <v>5.0</v>
      </c>
      <c r="BF41" s="2">
        <v>1.0</v>
      </c>
      <c r="BG41" s="2">
        <v>2.0</v>
      </c>
      <c r="BH41" s="2">
        <v>1.0</v>
      </c>
      <c r="BI41" s="2">
        <v>1.0</v>
      </c>
      <c r="BJ41" s="2">
        <v>1.0</v>
      </c>
      <c r="BK41" s="2">
        <v>1.0</v>
      </c>
      <c r="BL41" s="2">
        <v>1.0</v>
      </c>
      <c r="BM41" s="2">
        <v>1.0</v>
      </c>
      <c r="BN41" s="2">
        <v>3.0</v>
      </c>
      <c r="BO41" s="2">
        <v>1.0</v>
      </c>
      <c r="BP41" s="2">
        <v>1.0</v>
      </c>
      <c r="BQ41" s="2" t="s">
        <v>390</v>
      </c>
      <c r="BR41" s="2" t="s">
        <v>391</v>
      </c>
      <c r="BS41" s="2" t="s">
        <v>392</v>
      </c>
      <c r="BT41" s="2" t="s">
        <v>393</v>
      </c>
      <c r="BU41" s="2" t="s">
        <v>395</v>
      </c>
      <c r="BV41" s="2" t="s">
        <v>396</v>
      </c>
      <c r="BW41" s="2" t="s">
        <v>33</v>
      </c>
      <c r="BX41" s="2" t="s">
        <v>33</v>
      </c>
      <c r="BY41" s="2" t="s">
        <v>33</v>
      </c>
      <c r="BZ41" s="2" t="s">
        <v>33</v>
      </c>
      <c r="CA41" s="2" t="s">
        <v>33</v>
      </c>
      <c r="CB41" s="2" t="s">
        <v>33</v>
      </c>
      <c r="CC41" s="2" t="s">
        <v>1527</v>
      </c>
      <c r="CD41" s="2">
        <v>3.0</v>
      </c>
      <c r="CE41" s="2" t="s">
        <v>33</v>
      </c>
      <c r="CF41" s="2" t="s">
        <v>1083</v>
      </c>
      <c r="CG41" s="2" t="s">
        <v>33</v>
      </c>
      <c r="CH41" s="2" t="s">
        <v>33</v>
      </c>
      <c r="CI41" s="2" t="s">
        <v>33</v>
      </c>
      <c r="CJ41" s="2" t="s">
        <v>33</v>
      </c>
      <c r="CK41" s="2" t="s">
        <v>425</v>
      </c>
      <c r="CL41" s="2" t="s">
        <v>367</v>
      </c>
      <c r="CM41" s="4">
        <v>45376.0</v>
      </c>
      <c r="CN41" s="4">
        <v>45380.0</v>
      </c>
      <c r="CO41" s="2">
        <v>5.0</v>
      </c>
      <c r="CP41" s="2" t="s">
        <v>529</v>
      </c>
      <c r="CQ41" s="2" t="s">
        <v>441</v>
      </c>
      <c r="CR41" s="2" t="s">
        <v>479</v>
      </c>
      <c r="CS41" s="2" t="s">
        <v>529</v>
      </c>
      <c r="CT41" s="2" t="s">
        <v>368</v>
      </c>
      <c r="CU41" s="2" t="s">
        <v>762</v>
      </c>
    </row>
    <row r="42" ht="12.75" customHeight="1">
      <c r="A42" s="2">
        <v>41.0</v>
      </c>
      <c r="B42" s="2">
        <v>7.0</v>
      </c>
      <c r="C42" s="2" t="s">
        <v>358</v>
      </c>
      <c r="D42" s="2" t="s">
        <v>359</v>
      </c>
      <c r="E42" s="2" t="s">
        <v>360</v>
      </c>
      <c r="F42" s="2" t="s">
        <v>437</v>
      </c>
      <c r="G42" s="2" t="s">
        <v>437</v>
      </c>
      <c r="H42" s="2" t="s">
        <v>362</v>
      </c>
      <c r="I42" s="2" t="s">
        <v>363</v>
      </c>
      <c r="J42" s="2" t="s">
        <v>365</v>
      </c>
      <c r="K42" s="2" t="s">
        <v>366</v>
      </c>
      <c r="L42" s="2" t="s">
        <v>367</v>
      </c>
      <c r="M42" s="2" t="s">
        <v>368</v>
      </c>
      <c r="N42" s="2" t="s">
        <v>441</v>
      </c>
      <c r="O42" s="2" t="s">
        <v>442</v>
      </c>
      <c r="P42" s="2" t="s">
        <v>1026</v>
      </c>
      <c r="Q42" s="2" t="s">
        <v>480</v>
      </c>
      <c r="R42" s="2" t="s">
        <v>480</v>
      </c>
      <c r="S42" s="2" t="s">
        <v>378</v>
      </c>
      <c r="T42" s="2" t="s">
        <v>376</v>
      </c>
      <c r="U42" s="2" t="s">
        <v>376</v>
      </c>
      <c r="V42" s="2" t="s">
        <v>378</v>
      </c>
      <c r="W42" s="2" t="s">
        <v>378</v>
      </c>
      <c r="X42" s="2" t="s">
        <v>444</v>
      </c>
      <c r="Y42" s="2" t="s">
        <v>376</v>
      </c>
      <c r="Z42" s="2" t="s">
        <v>376</v>
      </c>
      <c r="AA42" s="2" t="s">
        <v>382</v>
      </c>
      <c r="AB42" s="2" t="s">
        <v>551</v>
      </c>
      <c r="AC42" s="2" t="s">
        <v>450</v>
      </c>
      <c r="AD42" s="2" t="s">
        <v>452</v>
      </c>
      <c r="AE42" s="2" t="s">
        <v>387</v>
      </c>
      <c r="AF42" s="2" t="s">
        <v>388</v>
      </c>
      <c r="AG42" s="2" t="s">
        <v>455</v>
      </c>
      <c r="AH42" s="2" t="s">
        <v>33</v>
      </c>
      <c r="AI42" s="2" t="s">
        <v>33</v>
      </c>
      <c r="AJ42" s="2" t="s">
        <v>33</v>
      </c>
      <c r="AK42" s="2" t="s">
        <v>33</v>
      </c>
      <c r="AL42" s="2">
        <v>2.0</v>
      </c>
      <c r="AM42" s="2">
        <v>4.0</v>
      </c>
      <c r="AN42" s="2">
        <v>2.0</v>
      </c>
      <c r="AO42" s="2">
        <v>3.0</v>
      </c>
      <c r="AP42" s="2">
        <v>4.0</v>
      </c>
      <c r="AQ42" s="2">
        <v>1.0</v>
      </c>
      <c r="AR42" s="2">
        <v>2.0</v>
      </c>
      <c r="AS42" s="2">
        <v>3.0</v>
      </c>
      <c r="AT42" s="2">
        <v>3.0</v>
      </c>
      <c r="AU42" s="2">
        <v>2.0</v>
      </c>
      <c r="AV42" s="2">
        <v>3.0</v>
      </c>
      <c r="AW42" s="2">
        <v>3.0</v>
      </c>
      <c r="AX42" s="2">
        <v>2.0</v>
      </c>
      <c r="AY42" s="2">
        <v>2.0</v>
      </c>
      <c r="AZ42" s="2">
        <v>1.0</v>
      </c>
      <c r="BA42" s="2">
        <v>1.0</v>
      </c>
      <c r="BB42" s="2">
        <v>1.0</v>
      </c>
      <c r="BC42" s="2">
        <v>2.0</v>
      </c>
      <c r="BD42" s="2">
        <v>2.0</v>
      </c>
      <c r="BE42" s="2">
        <v>5.0</v>
      </c>
      <c r="BF42" s="2">
        <v>2.0</v>
      </c>
      <c r="BG42" s="2">
        <v>1.0</v>
      </c>
      <c r="BH42" s="2">
        <v>1.0</v>
      </c>
      <c r="BI42" s="2">
        <v>1.0</v>
      </c>
      <c r="BJ42" s="2">
        <v>2.0</v>
      </c>
      <c r="BK42" s="2">
        <v>1.0</v>
      </c>
      <c r="BL42" s="2">
        <v>1.0</v>
      </c>
      <c r="BM42" s="2">
        <v>1.0</v>
      </c>
      <c r="BN42" s="2">
        <v>5.0</v>
      </c>
      <c r="BO42" s="2">
        <v>1.0</v>
      </c>
      <c r="BP42" s="2">
        <v>1.0</v>
      </c>
      <c r="BQ42" s="2" t="s">
        <v>389</v>
      </c>
      <c r="BR42" s="2" t="s">
        <v>390</v>
      </c>
      <c r="BS42" s="2" t="s">
        <v>391</v>
      </c>
      <c r="BT42" s="2" t="s">
        <v>393</v>
      </c>
      <c r="BU42" s="2" t="s">
        <v>396</v>
      </c>
      <c r="BV42" s="2" t="s">
        <v>33</v>
      </c>
      <c r="BW42" s="2" t="s">
        <v>33</v>
      </c>
      <c r="BX42" s="2" t="s">
        <v>33</v>
      </c>
      <c r="BY42" s="2" t="s">
        <v>33</v>
      </c>
      <c r="BZ42" s="2" t="s">
        <v>33</v>
      </c>
      <c r="CA42" s="2" t="s">
        <v>33</v>
      </c>
      <c r="CB42" s="2" t="s">
        <v>33</v>
      </c>
      <c r="CC42" s="2" t="s">
        <v>1560</v>
      </c>
      <c r="CD42" s="2">
        <v>4.0</v>
      </c>
      <c r="CE42" s="2" t="s">
        <v>899</v>
      </c>
      <c r="CF42" s="2" t="s">
        <v>1083</v>
      </c>
      <c r="CG42" s="2" t="s">
        <v>999</v>
      </c>
      <c r="CH42" s="2" t="s">
        <v>33</v>
      </c>
      <c r="CI42" s="2" t="s">
        <v>33</v>
      </c>
      <c r="CJ42" s="2" t="s">
        <v>33</v>
      </c>
      <c r="CK42" s="2" t="s">
        <v>425</v>
      </c>
      <c r="CL42" s="2" t="s">
        <v>367</v>
      </c>
      <c r="CM42" s="2" t="s">
        <v>33</v>
      </c>
      <c r="CN42" s="2" t="s">
        <v>33</v>
      </c>
      <c r="CO42" s="2" t="s">
        <v>33</v>
      </c>
      <c r="CP42" s="2" t="s">
        <v>529</v>
      </c>
      <c r="CQ42" s="2" t="s">
        <v>441</v>
      </c>
      <c r="CR42" s="2" t="s">
        <v>442</v>
      </c>
      <c r="CS42" s="2" t="s">
        <v>529</v>
      </c>
      <c r="CT42" s="2" t="s">
        <v>368</v>
      </c>
      <c r="CU42" s="2" t="s">
        <v>1026</v>
      </c>
    </row>
    <row r="43" ht="12.75" customHeight="1">
      <c r="A43" s="2">
        <v>42.0</v>
      </c>
      <c r="B43" s="2">
        <v>2.0</v>
      </c>
      <c r="C43" s="2" t="s">
        <v>358</v>
      </c>
      <c r="D43" s="2" t="s">
        <v>359</v>
      </c>
      <c r="E43" s="2" t="s">
        <v>360</v>
      </c>
      <c r="F43" s="2" t="s">
        <v>437</v>
      </c>
      <c r="G43" s="2" t="s">
        <v>437</v>
      </c>
      <c r="H43" s="2" t="s">
        <v>540</v>
      </c>
      <c r="I43" s="2" t="s">
        <v>1575</v>
      </c>
      <c r="J43" s="2" t="s">
        <v>365</v>
      </c>
      <c r="K43" s="2" t="s">
        <v>366</v>
      </c>
      <c r="L43" s="2" t="s">
        <v>440</v>
      </c>
      <c r="M43" s="2" t="s">
        <v>645</v>
      </c>
      <c r="N43" s="2" t="s">
        <v>441</v>
      </c>
      <c r="O43" s="2" t="s">
        <v>442</v>
      </c>
      <c r="P43" s="2" t="s">
        <v>1026</v>
      </c>
      <c r="Q43" s="2" t="s">
        <v>480</v>
      </c>
      <c r="R43" s="2" t="s">
        <v>480</v>
      </c>
      <c r="S43" s="2" t="s">
        <v>376</v>
      </c>
      <c r="T43" s="2" t="s">
        <v>376</v>
      </c>
      <c r="U43" s="2" t="s">
        <v>376</v>
      </c>
      <c r="V43" s="2" t="s">
        <v>378</v>
      </c>
      <c r="W43" s="2" t="s">
        <v>444</v>
      </c>
      <c r="X43" s="2" t="s">
        <v>444</v>
      </c>
      <c r="Y43" s="2" t="s">
        <v>376</v>
      </c>
      <c r="Z43" s="2" t="s">
        <v>376</v>
      </c>
      <c r="AA43" s="2" t="s">
        <v>986</v>
      </c>
      <c r="AB43" s="2" t="s">
        <v>551</v>
      </c>
      <c r="AC43" s="2" t="s">
        <v>806</v>
      </c>
      <c r="AD43" s="2" t="s">
        <v>33</v>
      </c>
      <c r="AE43" s="2" t="s">
        <v>33</v>
      </c>
      <c r="AF43" s="2" t="s">
        <v>33</v>
      </c>
      <c r="AG43" s="2" t="s">
        <v>33</v>
      </c>
      <c r="AH43" s="2" t="s">
        <v>33</v>
      </c>
      <c r="AI43" s="2" t="s">
        <v>33</v>
      </c>
      <c r="AJ43" s="2" t="s">
        <v>33</v>
      </c>
      <c r="AK43" s="2" t="s">
        <v>33</v>
      </c>
      <c r="AL43" s="2">
        <v>4.0</v>
      </c>
      <c r="AM43" s="2">
        <v>4.0</v>
      </c>
      <c r="AN43" s="2">
        <v>1.0</v>
      </c>
      <c r="AO43" s="2">
        <v>5.0</v>
      </c>
      <c r="AP43" s="2">
        <v>5.0</v>
      </c>
      <c r="AQ43" s="2">
        <v>1.0</v>
      </c>
      <c r="AR43" s="2">
        <v>4.0</v>
      </c>
      <c r="AS43" s="2">
        <v>5.0</v>
      </c>
      <c r="AT43" s="2">
        <v>1.0</v>
      </c>
      <c r="AU43" s="2">
        <v>1.0</v>
      </c>
      <c r="AV43" s="2">
        <v>5.0</v>
      </c>
      <c r="AW43" s="2">
        <v>5.0</v>
      </c>
      <c r="AX43" s="2">
        <v>1.0</v>
      </c>
      <c r="AY43" s="2">
        <v>3.0</v>
      </c>
      <c r="AZ43" s="2">
        <v>1.0</v>
      </c>
      <c r="BA43" s="2">
        <v>1.0</v>
      </c>
      <c r="BB43" s="2">
        <v>1.0</v>
      </c>
      <c r="BC43" s="2">
        <v>3.0</v>
      </c>
      <c r="BD43" s="2">
        <v>5.0</v>
      </c>
      <c r="BE43" s="2">
        <v>4.0</v>
      </c>
      <c r="BF43" s="2">
        <v>1.0</v>
      </c>
      <c r="BG43" s="2">
        <v>1.0</v>
      </c>
      <c r="BH43" s="2">
        <v>1.0</v>
      </c>
      <c r="BI43" s="2">
        <v>1.0</v>
      </c>
      <c r="BJ43" s="2">
        <v>1.0</v>
      </c>
      <c r="BK43" s="2">
        <v>1.0</v>
      </c>
      <c r="BL43" s="2">
        <v>2.0</v>
      </c>
      <c r="BM43" s="2">
        <v>1.0</v>
      </c>
      <c r="BN43" s="2">
        <v>2.0</v>
      </c>
      <c r="BO43" s="2">
        <v>1.0</v>
      </c>
      <c r="BP43" s="2">
        <v>3.0</v>
      </c>
      <c r="BQ43" s="2" t="s">
        <v>390</v>
      </c>
      <c r="BR43" s="2" t="s">
        <v>392</v>
      </c>
      <c r="BS43" s="2" t="s">
        <v>393</v>
      </c>
      <c r="BT43" s="2" t="s">
        <v>33</v>
      </c>
      <c r="BU43" s="2" t="s">
        <v>33</v>
      </c>
      <c r="BV43" s="2" t="s">
        <v>33</v>
      </c>
      <c r="BW43" s="2" t="s">
        <v>33</v>
      </c>
      <c r="BX43" s="2" t="s">
        <v>33</v>
      </c>
      <c r="BY43" s="2" t="s">
        <v>33</v>
      </c>
      <c r="BZ43" s="2" t="s">
        <v>33</v>
      </c>
      <c r="CA43" s="2" t="s">
        <v>33</v>
      </c>
      <c r="CB43" s="2" t="s">
        <v>33</v>
      </c>
      <c r="CC43" s="2" t="s">
        <v>1593</v>
      </c>
      <c r="CD43" s="2">
        <v>5.0</v>
      </c>
      <c r="CE43" s="2" t="s">
        <v>952</v>
      </c>
      <c r="CF43" s="2" t="s">
        <v>33</v>
      </c>
      <c r="CG43" s="2" t="s">
        <v>33</v>
      </c>
      <c r="CH43" s="2" t="s">
        <v>33</v>
      </c>
      <c r="CI43" s="2" t="s">
        <v>33</v>
      </c>
      <c r="CJ43" s="2" t="s">
        <v>33</v>
      </c>
      <c r="CK43" s="2" t="s">
        <v>1575</v>
      </c>
      <c r="CL43" s="2" t="s">
        <v>466</v>
      </c>
      <c r="CM43" s="4">
        <v>45379.0</v>
      </c>
      <c r="CN43" s="4">
        <v>45384.0</v>
      </c>
      <c r="CO43" s="2">
        <v>6.0</v>
      </c>
      <c r="CP43" s="2" t="s">
        <v>529</v>
      </c>
      <c r="CQ43" s="2" t="s">
        <v>441</v>
      </c>
      <c r="CR43" s="2" t="s">
        <v>442</v>
      </c>
      <c r="CS43" s="2" t="s">
        <v>529</v>
      </c>
      <c r="CT43" s="2" t="s">
        <v>645</v>
      </c>
      <c r="CU43" s="2" t="s">
        <v>1026</v>
      </c>
    </row>
    <row r="44" ht="12.75" customHeight="1">
      <c r="A44" s="2">
        <v>43.0</v>
      </c>
      <c r="B44" s="2">
        <v>4.0</v>
      </c>
      <c r="C44" s="2" t="s">
        <v>358</v>
      </c>
      <c r="D44" s="2" t="s">
        <v>359</v>
      </c>
      <c r="E44" s="2" t="s">
        <v>473</v>
      </c>
      <c r="F44" s="2" t="s">
        <v>443</v>
      </c>
      <c r="G44" s="2" t="s">
        <v>443</v>
      </c>
      <c r="H44" s="2" t="s">
        <v>362</v>
      </c>
      <c r="I44" s="2" t="s">
        <v>1596</v>
      </c>
      <c r="J44" s="2" t="s">
        <v>438</v>
      </c>
      <c r="K44" s="2" t="s">
        <v>366</v>
      </c>
      <c r="L44" s="2" t="s">
        <v>440</v>
      </c>
      <c r="M44" s="2" t="s">
        <v>368</v>
      </c>
      <c r="N44" s="2" t="s">
        <v>369</v>
      </c>
      <c r="O44" s="2" t="s">
        <v>442</v>
      </c>
      <c r="P44" s="2" t="s">
        <v>372</v>
      </c>
      <c r="Q44" s="2" t="s">
        <v>480</v>
      </c>
      <c r="R44" s="2" t="s">
        <v>480</v>
      </c>
      <c r="S44" s="2" t="s">
        <v>378</v>
      </c>
      <c r="T44" s="2" t="s">
        <v>376</v>
      </c>
      <c r="U44" s="2" t="s">
        <v>378</v>
      </c>
      <c r="V44" s="2" t="s">
        <v>378</v>
      </c>
      <c r="W44" s="2" t="s">
        <v>444</v>
      </c>
      <c r="X44" s="2" t="s">
        <v>444</v>
      </c>
      <c r="Y44" s="2" t="s">
        <v>444</v>
      </c>
      <c r="Z44" s="2" t="s">
        <v>444</v>
      </c>
      <c r="AA44" s="2" t="s">
        <v>382</v>
      </c>
      <c r="AB44" s="2" t="s">
        <v>490</v>
      </c>
      <c r="AC44" s="2" t="s">
        <v>806</v>
      </c>
      <c r="AD44" s="2" t="s">
        <v>33</v>
      </c>
      <c r="AE44" s="2" t="s">
        <v>33</v>
      </c>
      <c r="AF44" s="2" t="s">
        <v>33</v>
      </c>
      <c r="AG44" s="2" t="s">
        <v>33</v>
      </c>
      <c r="AH44" s="2" t="s">
        <v>33</v>
      </c>
      <c r="AI44" s="2" t="s">
        <v>33</v>
      </c>
      <c r="AJ44" s="2" t="s">
        <v>33</v>
      </c>
      <c r="AK44" s="2" t="s">
        <v>33</v>
      </c>
      <c r="AL44" s="2">
        <v>1.0</v>
      </c>
      <c r="AM44" s="2">
        <v>5.0</v>
      </c>
      <c r="AN44" s="2">
        <v>1.0</v>
      </c>
      <c r="AO44" s="2">
        <v>1.0</v>
      </c>
      <c r="AP44" s="2">
        <v>1.0</v>
      </c>
      <c r="AQ44" s="2">
        <v>1.0</v>
      </c>
      <c r="AR44" s="2">
        <v>1.0</v>
      </c>
      <c r="AS44" s="2">
        <v>1.0</v>
      </c>
      <c r="AT44" s="2">
        <v>1.0</v>
      </c>
      <c r="AU44" s="2">
        <v>3.0</v>
      </c>
      <c r="AV44" s="2">
        <v>3.0</v>
      </c>
      <c r="AW44" s="2">
        <v>3.0</v>
      </c>
      <c r="AX44" s="2">
        <v>1.0</v>
      </c>
      <c r="AY44" s="2">
        <v>1.0</v>
      </c>
      <c r="AZ44" s="2">
        <v>1.0</v>
      </c>
      <c r="BA44" s="2">
        <v>3.0</v>
      </c>
      <c r="BB44" s="2">
        <v>3.0</v>
      </c>
      <c r="BC44" s="2">
        <v>3.0</v>
      </c>
      <c r="BD44" s="2">
        <v>3.0</v>
      </c>
      <c r="BE44" s="2">
        <v>5.0</v>
      </c>
      <c r="BF44" s="2">
        <v>1.0</v>
      </c>
      <c r="BG44" s="2">
        <v>1.0</v>
      </c>
      <c r="BH44" s="2">
        <v>1.0</v>
      </c>
      <c r="BI44" s="2">
        <v>1.0</v>
      </c>
      <c r="BJ44" s="2">
        <v>5.0</v>
      </c>
      <c r="BK44" s="2">
        <v>1.0</v>
      </c>
      <c r="BL44" s="2">
        <v>1.0</v>
      </c>
      <c r="BM44" s="2">
        <v>1.0</v>
      </c>
      <c r="BN44" s="2">
        <v>4.0</v>
      </c>
      <c r="BO44" s="2">
        <v>1.0</v>
      </c>
      <c r="BP44" s="2">
        <v>2.0</v>
      </c>
      <c r="BQ44" s="2" t="s">
        <v>393</v>
      </c>
      <c r="BR44" s="2" t="s">
        <v>33</v>
      </c>
      <c r="BS44" s="2" t="s">
        <v>33</v>
      </c>
      <c r="BT44" s="2" t="s">
        <v>33</v>
      </c>
      <c r="BU44" s="2" t="s">
        <v>33</v>
      </c>
      <c r="BV44" s="2" t="s">
        <v>33</v>
      </c>
      <c r="BW44" s="2" t="s">
        <v>33</v>
      </c>
      <c r="BX44" s="2" t="s">
        <v>33</v>
      </c>
      <c r="BY44" s="2" t="s">
        <v>33</v>
      </c>
      <c r="BZ44" s="2" t="s">
        <v>33</v>
      </c>
      <c r="CA44" s="2" t="s">
        <v>33</v>
      </c>
      <c r="CB44" s="2" t="s">
        <v>33</v>
      </c>
      <c r="CC44" s="2" t="s">
        <v>1604</v>
      </c>
      <c r="CD44" s="2">
        <v>4.0</v>
      </c>
      <c r="CE44" s="2" t="s">
        <v>794</v>
      </c>
      <c r="CF44" s="2" t="s">
        <v>952</v>
      </c>
      <c r="CG44" s="2" t="s">
        <v>998</v>
      </c>
      <c r="CH44" s="2" t="s">
        <v>999</v>
      </c>
      <c r="CI44" s="2" t="s">
        <v>33</v>
      </c>
      <c r="CJ44" s="2" t="s">
        <v>33</v>
      </c>
      <c r="CK44" s="2" t="s">
        <v>1596</v>
      </c>
      <c r="CL44" s="2" t="s">
        <v>466</v>
      </c>
      <c r="CM44" s="4">
        <v>45376.0</v>
      </c>
      <c r="CN44" s="4">
        <v>45384.0</v>
      </c>
      <c r="CO44" s="2">
        <v>9.0</v>
      </c>
      <c r="CP44" s="2" t="s">
        <v>529</v>
      </c>
      <c r="CQ44" s="2" t="s">
        <v>369</v>
      </c>
      <c r="CR44" s="2" t="s">
        <v>442</v>
      </c>
      <c r="CS44" s="2" t="s">
        <v>529</v>
      </c>
      <c r="CT44" s="2" t="s">
        <v>368</v>
      </c>
      <c r="CU44" s="2" t="s">
        <v>372</v>
      </c>
    </row>
    <row r="45" ht="12.75" customHeight="1">
      <c r="A45" s="2">
        <v>44.0</v>
      </c>
      <c r="B45" s="2">
        <v>2.0</v>
      </c>
      <c r="C45" s="2" t="s">
        <v>358</v>
      </c>
      <c r="D45" s="2" t="s">
        <v>359</v>
      </c>
      <c r="E45" s="2" t="s">
        <v>473</v>
      </c>
      <c r="F45" s="2" t="s">
        <v>437</v>
      </c>
      <c r="G45" s="2" t="s">
        <v>437</v>
      </c>
      <c r="H45" s="2" t="s">
        <v>540</v>
      </c>
      <c r="I45" s="2" t="s">
        <v>1608</v>
      </c>
      <c r="J45" s="2" t="s">
        <v>438</v>
      </c>
      <c r="K45" s="2" t="s">
        <v>366</v>
      </c>
      <c r="L45" s="2" t="s">
        <v>440</v>
      </c>
      <c r="M45" s="2" t="s">
        <v>368</v>
      </c>
      <c r="N45" s="2" t="s">
        <v>441</v>
      </c>
      <c r="O45" s="2" t="s">
        <v>370</v>
      </c>
      <c r="P45" s="2" t="s">
        <v>372</v>
      </c>
      <c r="Q45" s="2" t="s">
        <v>480</v>
      </c>
      <c r="R45" s="2" t="s">
        <v>480</v>
      </c>
      <c r="S45" s="2" t="s">
        <v>378</v>
      </c>
      <c r="T45" s="2" t="s">
        <v>378</v>
      </c>
      <c r="U45" s="2" t="s">
        <v>378</v>
      </c>
      <c r="V45" s="2" t="s">
        <v>378</v>
      </c>
      <c r="W45" s="2" t="s">
        <v>444</v>
      </c>
      <c r="X45" s="2" t="s">
        <v>444</v>
      </c>
      <c r="Y45" s="2" t="s">
        <v>444</v>
      </c>
      <c r="Z45" s="2" t="s">
        <v>444</v>
      </c>
      <c r="AA45" s="2" t="s">
        <v>382</v>
      </c>
      <c r="AB45" s="2" t="s">
        <v>1617</v>
      </c>
      <c r="AC45" s="2" t="s">
        <v>450</v>
      </c>
      <c r="AD45" s="2" t="s">
        <v>451</v>
      </c>
      <c r="AE45" s="2" t="s">
        <v>452</v>
      </c>
      <c r="AF45" s="2" t="s">
        <v>387</v>
      </c>
      <c r="AG45" s="2" t="s">
        <v>388</v>
      </c>
      <c r="AH45" s="2" t="s">
        <v>455</v>
      </c>
      <c r="AI45" s="2" t="s">
        <v>33</v>
      </c>
      <c r="AJ45" s="2" t="s">
        <v>33</v>
      </c>
      <c r="AK45" s="2" t="s">
        <v>33</v>
      </c>
      <c r="AL45" s="2">
        <v>1.0</v>
      </c>
      <c r="AM45" s="2">
        <v>4.0</v>
      </c>
      <c r="AN45" s="2">
        <v>2.0</v>
      </c>
      <c r="AO45" s="2">
        <v>2.0</v>
      </c>
      <c r="AP45" s="2">
        <v>1.0</v>
      </c>
      <c r="AQ45" s="2">
        <v>2.0</v>
      </c>
      <c r="AR45" s="2">
        <v>1.0</v>
      </c>
      <c r="AS45" s="2">
        <v>2.0</v>
      </c>
      <c r="AT45" s="2">
        <v>1.0</v>
      </c>
      <c r="AU45" s="2">
        <v>1.0</v>
      </c>
      <c r="AV45" s="2">
        <v>3.0</v>
      </c>
      <c r="AW45" s="2">
        <v>1.0</v>
      </c>
      <c r="AX45" s="2">
        <v>2.0</v>
      </c>
      <c r="AY45" s="2">
        <v>5.0</v>
      </c>
      <c r="AZ45" s="2">
        <v>1.0</v>
      </c>
      <c r="BA45" s="2">
        <v>2.0</v>
      </c>
      <c r="BB45" s="2">
        <v>1.0</v>
      </c>
      <c r="BC45" s="2">
        <v>2.0</v>
      </c>
      <c r="BD45" s="2">
        <v>3.0</v>
      </c>
      <c r="BE45" s="2">
        <v>4.0</v>
      </c>
      <c r="BF45" s="2">
        <v>3.0</v>
      </c>
      <c r="BG45" s="2">
        <v>2.0</v>
      </c>
      <c r="BH45" s="2">
        <v>1.0</v>
      </c>
      <c r="BI45" s="2">
        <v>1.0</v>
      </c>
      <c r="BJ45" s="2">
        <v>1.0</v>
      </c>
      <c r="BK45" s="2">
        <v>1.0</v>
      </c>
      <c r="BL45" s="2">
        <v>1.0</v>
      </c>
      <c r="BM45" s="2">
        <v>1.0</v>
      </c>
      <c r="BN45" s="2">
        <v>3.0</v>
      </c>
      <c r="BO45" s="2">
        <v>1.0</v>
      </c>
      <c r="BP45" s="2">
        <v>2.0</v>
      </c>
      <c r="BQ45" s="2" t="s">
        <v>568</v>
      </c>
      <c r="BR45" s="2" t="s">
        <v>389</v>
      </c>
      <c r="BS45" s="2" t="s">
        <v>390</v>
      </c>
      <c r="BT45" s="2" t="s">
        <v>391</v>
      </c>
      <c r="BU45" s="2" t="s">
        <v>392</v>
      </c>
      <c r="BV45" s="2" t="s">
        <v>393</v>
      </c>
      <c r="BW45" s="2" t="s">
        <v>394</v>
      </c>
      <c r="BX45" s="2" t="s">
        <v>395</v>
      </c>
      <c r="BY45" s="2" t="s">
        <v>396</v>
      </c>
      <c r="BZ45" s="2" t="s">
        <v>33</v>
      </c>
      <c r="CA45" s="2" t="s">
        <v>33</v>
      </c>
      <c r="CB45" s="2" t="s">
        <v>33</v>
      </c>
      <c r="CC45" s="3" t="s">
        <v>1627</v>
      </c>
      <c r="CD45" s="2">
        <v>4.0</v>
      </c>
      <c r="CE45" s="2" t="s">
        <v>794</v>
      </c>
      <c r="CF45" s="2" t="s">
        <v>952</v>
      </c>
      <c r="CG45" s="2" t="s">
        <v>1019</v>
      </c>
      <c r="CH45" s="2" t="s">
        <v>999</v>
      </c>
      <c r="CI45" s="2" t="s">
        <v>33</v>
      </c>
      <c r="CJ45" s="2" t="s">
        <v>33</v>
      </c>
      <c r="CK45" s="2" t="s">
        <v>1608</v>
      </c>
      <c r="CL45" s="2" t="s">
        <v>466</v>
      </c>
      <c r="CM45" s="4">
        <v>45378.0</v>
      </c>
      <c r="CN45" s="4">
        <v>45383.0</v>
      </c>
      <c r="CO45" s="2">
        <v>6.0</v>
      </c>
      <c r="CP45" s="2" t="s">
        <v>529</v>
      </c>
      <c r="CQ45" s="2" t="s">
        <v>441</v>
      </c>
      <c r="CR45" s="2" t="s">
        <v>370</v>
      </c>
      <c r="CS45" s="2" t="s">
        <v>529</v>
      </c>
      <c r="CT45" s="2" t="s">
        <v>368</v>
      </c>
      <c r="CU45" s="2" t="s">
        <v>372</v>
      </c>
    </row>
    <row r="46" ht="12.75" customHeight="1">
      <c r="A46" s="2">
        <v>45.0</v>
      </c>
      <c r="B46" s="2">
        <v>2.0</v>
      </c>
      <c r="C46" s="2" t="s">
        <v>358</v>
      </c>
      <c r="D46" s="2" t="s">
        <v>359</v>
      </c>
      <c r="E46" s="2" t="s">
        <v>360</v>
      </c>
      <c r="F46" s="2" t="s">
        <v>437</v>
      </c>
      <c r="G46" s="2" t="s">
        <v>437</v>
      </c>
      <c r="H46" s="2" t="s">
        <v>362</v>
      </c>
      <c r="I46" s="2" t="s">
        <v>1635</v>
      </c>
      <c r="J46" s="2" t="s">
        <v>1637</v>
      </c>
      <c r="K46" s="2" t="s">
        <v>366</v>
      </c>
      <c r="L46" s="2" t="s">
        <v>440</v>
      </c>
      <c r="M46" s="2" t="s">
        <v>368</v>
      </c>
      <c r="N46" s="2" t="s">
        <v>369</v>
      </c>
      <c r="O46" s="2" t="s">
        <v>442</v>
      </c>
      <c r="P46" s="2" t="s">
        <v>762</v>
      </c>
      <c r="Q46" s="2" t="s">
        <v>480</v>
      </c>
      <c r="R46" s="2" t="s">
        <v>480</v>
      </c>
      <c r="S46" s="2" t="s">
        <v>444</v>
      </c>
      <c r="T46" s="2" t="s">
        <v>378</v>
      </c>
      <c r="U46" s="2" t="s">
        <v>378</v>
      </c>
      <c r="V46" s="2" t="s">
        <v>378</v>
      </c>
      <c r="W46" s="2" t="s">
        <v>444</v>
      </c>
      <c r="X46" s="2" t="s">
        <v>444</v>
      </c>
      <c r="Y46" s="2" t="s">
        <v>444</v>
      </c>
      <c r="Z46" s="2" t="s">
        <v>444</v>
      </c>
      <c r="AA46" s="2" t="s">
        <v>447</v>
      </c>
      <c r="AB46" s="2" t="s">
        <v>551</v>
      </c>
      <c r="AC46" s="2" t="s">
        <v>385</v>
      </c>
      <c r="AD46" s="2" t="s">
        <v>387</v>
      </c>
      <c r="AE46" s="2" t="s">
        <v>388</v>
      </c>
      <c r="AF46" s="2" t="s">
        <v>455</v>
      </c>
      <c r="AG46" s="2" t="s">
        <v>33</v>
      </c>
      <c r="AH46" s="2" t="s">
        <v>33</v>
      </c>
      <c r="AI46" s="2" t="s">
        <v>33</v>
      </c>
      <c r="AJ46" s="2" t="s">
        <v>33</v>
      </c>
      <c r="AK46" s="2" t="s">
        <v>33</v>
      </c>
      <c r="AL46" s="2">
        <v>3.0</v>
      </c>
      <c r="AM46" s="2">
        <v>5.0</v>
      </c>
      <c r="AN46" s="2">
        <v>2.0</v>
      </c>
      <c r="AO46" s="2">
        <v>5.0</v>
      </c>
      <c r="AP46" s="2">
        <v>5.0</v>
      </c>
      <c r="AQ46" s="2">
        <v>1.0</v>
      </c>
      <c r="AR46" s="2">
        <v>1.0</v>
      </c>
      <c r="AS46" s="2">
        <v>1.0</v>
      </c>
      <c r="AT46" s="2">
        <v>1.0</v>
      </c>
      <c r="AU46" s="2">
        <v>2.0</v>
      </c>
      <c r="AV46" s="2">
        <v>5.0</v>
      </c>
      <c r="AW46" s="2">
        <v>5.0</v>
      </c>
      <c r="AX46" s="2">
        <v>1.0</v>
      </c>
      <c r="AY46" s="2">
        <v>1.0</v>
      </c>
      <c r="AZ46" s="2">
        <v>1.0</v>
      </c>
      <c r="BA46" s="2">
        <v>2.0</v>
      </c>
      <c r="BB46" s="2">
        <v>1.0</v>
      </c>
      <c r="BC46" s="2">
        <v>1.0</v>
      </c>
      <c r="BD46" s="2">
        <v>1.0</v>
      </c>
      <c r="BE46" s="2">
        <v>5.0</v>
      </c>
      <c r="BF46" s="2">
        <v>1.0</v>
      </c>
      <c r="BG46" s="2">
        <v>1.0</v>
      </c>
      <c r="BH46" s="2">
        <v>1.0</v>
      </c>
      <c r="BI46" s="2">
        <v>1.0</v>
      </c>
      <c r="BJ46" s="2">
        <v>1.0</v>
      </c>
      <c r="BK46" s="2">
        <v>1.0</v>
      </c>
      <c r="BL46" s="2">
        <v>1.0</v>
      </c>
      <c r="BM46" s="2">
        <v>1.0</v>
      </c>
      <c r="BN46" s="2">
        <v>5.0</v>
      </c>
      <c r="BO46" s="2">
        <v>1.0</v>
      </c>
      <c r="BP46" s="2">
        <v>1.0</v>
      </c>
      <c r="BQ46" s="2" t="s">
        <v>389</v>
      </c>
      <c r="BR46" s="2" t="s">
        <v>390</v>
      </c>
      <c r="BS46" s="2" t="s">
        <v>391</v>
      </c>
      <c r="BT46" s="2" t="s">
        <v>392</v>
      </c>
      <c r="BU46" s="2" t="s">
        <v>393</v>
      </c>
      <c r="BV46" s="2" t="s">
        <v>395</v>
      </c>
      <c r="BW46" s="2" t="s">
        <v>396</v>
      </c>
      <c r="BX46" s="2" t="s">
        <v>33</v>
      </c>
      <c r="BY46" s="2" t="s">
        <v>33</v>
      </c>
      <c r="BZ46" s="2" t="s">
        <v>33</v>
      </c>
      <c r="CA46" s="2" t="s">
        <v>33</v>
      </c>
      <c r="CB46" s="2" t="s">
        <v>33</v>
      </c>
      <c r="CC46" s="3" t="s">
        <v>1653</v>
      </c>
      <c r="CD46" s="2">
        <v>5.0</v>
      </c>
      <c r="CE46" s="2" t="s">
        <v>794</v>
      </c>
      <c r="CF46" s="2" t="s">
        <v>899</v>
      </c>
      <c r="CG46" s="2" t="s">
        <v>998</v>
      </c>
      <c r="CH46" s="2" t="s">
        <v>999</v>
      </c>
      <c r="CI46" s="2" t="s">
        <v>33</v>
      </c>
      <c r="CJ46" s="2" t="s">
        <v>33</v>
      </c>
      <c r="CK46" s="2" t="s">
        <v>1635</v>
      </c>
      <c r="CL46" s="2" t="s">
        <v>466</v>
      </c>
      <c r="CM46" s="4">
        <v>45378.0</v>
      </c>
      <c r="CN46" s="4">
        <v>45382.0</v>
      </c>
      <c r="CO46" s="2">
        <v>5.0</v>
      </c>
      <c r="CP46" s="2" t="s">
        <v>529</v>
      </c>
      <c r="CQ46" s="2" t="s">
        <v>369</v>
      </c>
      <c r="CR46" s="2" t="s">
        <v>442</v>
      </c>
      <c r="CS46" s="2" t="s">
        <v>529</v>
      </c>
      <c r="CT46" s="2" t="s">
        <v>368</v>
      </c>
      <c r="CU46" s="2" t="s">
        <v>762</v>
      </c>
    </row>
    <row r="47" ht="12.75" customHeight="1">
      <c r="A47" s="2">
        <v>46.0</v>
      </c>
      <c r="B47" s="2">
        <v>1.0</v>
      </c>
      <c r="C47" s="2" t="s">
        <v>358</v>
      </c>
      <c r="D47" s="2" t="s">
        <v>359</v>
      </c>
      <c r="E47" s="2" t="s">
        <v>473</v>
      </c>
      <c r="F47" s="2" t="s">
        <v>606</v>
      </c>
      <c r="G47" s="2" t="s">
        <v>1655</v>
      </c>
      <c r="H47" s="2" t="s">
        <v>540</v>
      </c>
      <c r="I47" s="2" t="s">
        <v>363</v>
      </c>
      <c r="J47" s="2" t="s">
        <v>365</v>
      </c>
      <c r="K47" s="2" t="s">
        <v>366</v>
      </c>
      <c r="L47" s="2" t="s">
        <v>367</v>
      </c>
      <c r="M47" s="2" t="s">
        <v>368</v>
      </c>
      <c r="N47" s="2" t="s">
        <v>369</v>
      </c>
      <c r="O47" s="2" t="s">
        <v>442</v>
      </c>
      <c r="P47" s="2" t="s">
        <v>372</v>
      </c>
      <c r="Q47" s="2" t="s">
        <v>606</v>
      </c>
      <c r="R47" s="2" t="s">
        <v>1658</v>
      </c>
      <c r="S47" s="2" t="s">
        <v>444</v>
      </c>
      <c r="T47" s="2" t="s">
        <v>376</v>
      </c>
      <c r="U47" s="2" t="s">
        <v>378</v>
      </c>
      <c r="V47" s="2" t="s">
        <v>378</v>
      </c>
      <c r="W47" s="2" t="s">
        <v>444</v>
      </c>
      <c r="X47" s="2" t="s">
        <v>376</v>
      </c>
      <c r="Y47" s="2" t="s">
        <v>376</v>
      </c>
      <c r="Z47" s="2" t="s">
        <v>376</v>
      </c>
      <c r="AA47" s="2" t="s">
        <v>864</v>
      </c>
      <c r="AB47" s="2" t="s">
        <v>1617</v>
      </c>
      <c r="AC47" s="2" t="s">
        <v>552</v>
      </c>
      <c r="AD47" s="2" t="s">
        <v>386</v>
      </c>
      <c r="AE47" s="2" t="s">
        <v>387</v>
      </c>
      <c r="AF47" s="2" t="s">
        <v>388</v>
      </c>
      <c r="AG47" s="2" t="s">
        <v>455</v>
      </c>
      <c r="AH47" s="2" t="s">
        <v>33</v>
      </c>
      <c r="AI47" s="2" t="s">
        <v>33</v>
      </c>
      <c r="AJ47" s="2" t="s">
        <v>33</v>
      </c>
      <c r="AK47" s="2" t="s">
        <v>33</v>
      </c>
      <c r="AL47" s="2">
        <v>5.0</v>
      </c>
      <c r="AM47" s="2">
        <v>1.0</v>
      </c>
      <c r="AN47" s="2">
        <v>1.0</v>
      </c>
      <c r="AO47" s="2">
        <v>3.0</v>
      </c>
      <c r="AP47" s="2">
        <v>3.0</v>
      </c>
      <c r="AQ47" s="2">
        <v>5.0</v>
      </c>
      <c r="AR47" s="2">
        <v>1.0</v>
      </c>
      <c r="AS47" s="2">
        <v>3.0</v>
      </c>
      <c r="AT47" s="2">
        <v>3.0</v>
      </c>
      <c r="AU47" s="2">
        <v>2.0</v>
      </c>
      <c r="AV47" s="2">
        <v>5.0</v>
      </c>
      <c r="AW47" s="2">
        <v>4.0</v>
      </c>
      <c r="AX47" s="2">
        <v>1.0</v>
      </c>
      <c r="AY47" s="2">
        <v>5.0</v>
      </c>
      <c r="AZ47" s="2">
        <v>2.0</v>
      </c>
      <c r="BA47" s="2">
        <v>4.0</v>
      </c>
      <c r="BB47" s="2">
        <v>3.0</v>
      </c>
      <c r="BC47" s="2">
        <v>1.0</v>
      </c>
      <c r="BD47" s="2">
        <v>1.0</v>
      </c>
      <c r="BE47" s="2">
        <v>4.0</v>
      </c>
      <c r="BF47" s="2">
        <v>1.0</v>
      </c>
      <c r="BG47" s="2">
        <v>1.0</v>
      </c>
      <c r="BH47" s="2">
        <v>1.0</v>
      </c>
      <c r="BI47" s="2">
        <v>1.0</v>
      </c>
      <c r="BJ47" s="2">
        <v>1.0</v>
      </c>
      <c r="BK47" s="2">
        <v>1.0</v>
      </c>
      <c r="BL47" s="2">
        <v>1.0</v>
      </c>
      <c r="BM47" s="2">
        <v>1.0</v>
      </c>
      <c r="BN47" s="2">
        <v>4.0</v>
      </c>
      <c r="BO47" s="2">
        <v>1.0</v>
      </c>
      <c r="BP47" s="2">
        <v>1.0</v>
      </c>
      <c r="BQ47" s="2" t="s">
        <v>568</v>
      </c>
      <c r="BR47" s="2" t="s">
        <v>389</v>
      </c>
      <c r="BS47" s="2" t="s">
        <v>390</v>
      </c>
      <c r="BT47" s="2" t="s">
        <v>391</v>
      </c>
      <c r="BU47" s="2" t="s">
        <v>393</v>
      </c>
      <c r="BV47" s="2" t="s">
        <v>395</v>
      </c>
      <c r="BW47" s="2" t="s">
        <v>33</v>
      </c>
      <c r="BX47" s="2" t="s">
        <v>33</v>
      </c>
      <c r="BY47" s="2" t="s">
        <v>33</v>
      </c>
      <c r="BZ47" s="2" t="s">
        <v>33</v>
      </c>
      <c r="CA47" s="2" t="s">
        <v>33</v>
      </c>
      <c r="CB47" s="2" t="s">
        <v>33</v>
      </c>
      <c r="CC47" s="2" t="s">
        <v>1662</v>
      </c>
      <c r="CD47" s="2">
        <v>1.0</v>
      </c>
      <c r="CE47" s="2" t="s">
        <v>952</v>
      </c>
      <c r="CF47" s="2" t="s">
        <v>33</v>
      </c>
      <c r="CG47" s="2" t="s">
        <v>33</v>
      </c>
      <c r="CH47" s="2" t="s">
        <v>33</v>
      </c>
      <c r="CI47" s="2" t="s">
        <v>33</v>
      </c>
      <c r="CJ47" s="2" t="s">
        <v>33</v>
      </c>
      <c r="CK47" s="2" t="s">
        <v>425</v>
      </c>
      <c r="CL47" s="2" t="s">
        <v>367</v>
      </c>
      <c r="CM47" s="4">
        <v>45381.0</v>
      </c>
      <c r="CN47" s="4">
        <v>45383.0</v>
      </c>
      <c r="CO47" s="2">
        <v>3.0</v>
      </c>
      <c r="CP47" s="2" t="s">
        <v>434</v>
      </c>
      <c r="CQ47" s="2" t="s">
        <v>369</v>
      </c>
      <c r="CR47" s="2" t="s">
        <v>442</v>
      </c>
      <c r="CS47" s="2" t="s">
        <v>434</v>
      </c>
      <c r="CT47" s="2" t="s">
        <v>368</v>
      </c>
      <c r="CU47" s="2" t="s">
        <v>372</v>
      </c>
    </row>
    <row r="48" ht="12.75" customHeight="1">
      <c r="A48" s="2">
        <v>47.0</v>
      </c>
      <c r="B48" s="2">
        <v>2.0</v>
      </c>
      <c r="C48" s="2" t="s">
        <v>358</v>
      </c>
      <c r="D48" s="2" t="s">
        <v>359</v>
      </c>
      <c r="E48" s="2" t="s">
        <v>473</v>
      </c>
      <c r="F48" s="2" t="s">
        <v>437</v>
      </c>
      <c r="G48" s="2" t="s">
        <v>437</v>
      </c>
      <c r="H48" s="2" t="s">
        <v>540</v>
      </c>
      <c r="I48" s="2" t="s">
        <v>1670</v>
      </c>
      <c r="J48" s="2" t="s">
        <v>599</v>
      </c>
      <c r="K48" s="2" t="s">
        <v>366</v>
      </c>
      <c r="L48" s="2" t="s">
        <v>599</v>
      </c>
      <c r="M48" s="2" t="s">
        <v>368</v>
      </c>
      <c r="N48" s="2" t="s">
        <v>369</v>
      </c>
      <c r="O48" s="2" t="s">
        <v>370</v>
      </c>
      <c r="P48" s="2" t="s">
        <v>372</v>
      </c>
      <c r="Q48" s="2" t="s">
        <v>480</v>
      </c>
      <c r="R48" s="2" t="s">
        <v>480</v>
      </c>
      <c r="S48" s="2" t="s">
        <v>444</v>
      </c>
      <c r="T48" s="2" t="s">
        <v>444</v>
      </c>
      <c r="U48" s="2" t="s">
        <v>376</v>
      </c>
      <c r="V48" s="2" t="s">
        <v>376</v>
      </c>
      <c r="W48" s="2" t="s">
        <v>444</v>
      </c>
      <c r="X48" s="2" t="s">
        <v>444</v>
      </c>
      <c r="Y48" s="2" t="s">
        <v>444</v>
      </c>
      <c r="Z48" s="2" t="s">
        <v>378</v>
      </c>
      <c r="AA48" s="2" t="s">
        <v>382</v>
      </c>
      <c r="AB48" s="2" t="s">
        <v>551</v>
      </c>
      <c r="AC48" s="2" t="s">
        <v>385</v>
      </c>
      <c r="AD48" s="2" t="s">
        <v>387</v>
      </c>
      <c r="AE48" s="2" t="s">
        <v>388</v>
      </c>
      <c r="AF48" s="2" t="s">
        <v>454</v>
      </c>
      <c r="AG48" s="2" t="s">
        <v>33</v>
      </c>
      <c r="AH48" s="2" t="s">
        <v>33</v>
      </c>
      <c r="AI48" s="2" t="s">
        <v>33</v>
      </c>
      <c r="AJ48" s="2" t="s">
        <v>33</v>
      </c>
      <c r="AK48" s="2" t="s">
        <v>33</v>
      </c>
      <c r="AL48" s="2">
        <v>5.0</v>
      </c>
      <c r="AM48" s="2">
        <v>1.0</v>
      </c>
      <c r="AN48" s="2">
        <v>2.0</v>
      </c>
      <c r="AO48" s="2">
        <v>2.0</v>
      </c>
      <c r="AP48" s="2">
        <v>3.0</v>
      </c>
      <c r="AQ48" s="2">
        <v>3.0</v>
      </c>
      <c r="AR48" s="2">
        <v>2.0</v>
      </c>
      <c r="AS48" s="2">
        <v>3.0</v>
      </c>
      <c r="AT48" s="2">
        <v>1.0</v>
      </c>
      <c r="AU48" s="2">
        <v>1.0</v>
      </c>
      <c r="AV48" s="2">
        <v>1.0</v>
      </c>
      <c r="AW48" s="2">
        <v>3.0</v>
      </c>
      <c r="AX48" s="2">
        <v>1.0</v>
      </c>
      <c r="AY48" s="2">
        <v>1.0</v>
      </c>
      <c r="AZ48" s="2">
        <v>1.0</v>
      </c>
      <c r="BA48" s="2">
        <v>3.0</v>
      </c>
      <c r="BB48" s="2">
        <v>1.0</v>
      </c>
      <c r="BC48" s="2">
        <v>1.0</v>
      </c>
      <c r="BD48" s="2">
        <v>1.0</v>
      </c>
      <c r="BE48" s="2">
        <v>3.0</v>
      </c>
      <c r="BF48" s="2">
        <v>1.0</v>
      </c>
      <c r="BG48" s="2">
        <v>1.0</v>
      </c>
      <c r="BH48" s="2">
        <v>1.0</v>
      </c>
      <c r="BI48" s="2">
        <v>1.0</v>
      </c>
      <c r="BJ48" s="2">
        <v>1.0</v>
      </c>
      <c r="BK48" s="2">
        <v>1.0</v>
      </c>
      <c r="BL48" s="2">
        <v>1.0</v>
      </c>
      <c r="BM48" s="2">
        <v>1.0</v>
      </c>
      <c r="BN48" s="2">
        <v>3.0</v>
      </c>
      <c r="BO48" s="2">
        <v>1.0</v>
      </c>
      <c r="BP48" s="2">
        <v>1.0</v>
      </c>
      <c r="BQ48" s="2" t="s">
        <v>390</v>
      </c>
      <c r="BR48" s="2" t="s">
        <v>391</v>
      </c>
      <c r="BS48" s="2" t="s">
        <v>392</v>
      </c>
      <c r="BT48" s="2" t="s">
        <v>393</v>
      </c>
      <c r="BU48" s="2" t="s">
        <v>396</v>
      </c>
      <c r="BV48" s="2" t="s">
        <v>33</v>
      </c>
      <c r="BW48" s="2" t="s">
        <v>33</v>
      </c>
      <c r="BX48" s="2" t="s">
        <v>33</v>
      </c>
      <c r="BY48" s="2" t="s">
        <v>33</v>
      </c>
      <c r="BZ48" s="2" t="s">
        <v>33</v>
      </c>
      <c r="CA48" s="2" t="s">
        <v>33</v>
      </c>
      <c r="CB48" s="2" t="s">
        <v>33</v>
      </c>
      <c r="CC48" s="2" t="s">
        <v>1687</v>
      </c>
      <c r="CD48" s="2">
        <v>5.0</v>
      </c>
      <c r="CE48" s="2" t="s">
        <v>794</v>
      </c>
      <c r="CF48" s="2" t="s">
        <v>952</v>
      </c>
      <c r="CG48" s="2" t="s">
        <v>1019</v>
      </c>
      <c r="CH48" s="2" t="s">
        <v>999</v>
      </c>
      <c r="CI48" s="2" t="s">
        <v>33</v>
      </c>
      <c r="CJ48" s="2" t="s">
        <v>33</v>
      </c>
      <c r="CK48" s="2" t="s">
        <v>1670</v>
      </c>
      <c r="CL48" s="2" t="s">
        <v>466</v>
      </c>
      <c r="CM48" s="4">
        <v>45379.0</v>
      </c>
      <c r="CN48" s="4">
        <v>45383.0</v>
      </c>
      <c r="CO48" s="2">
        <v>5.0</v>
      </c>
      <c r="CP48" s="2" t="s">
        <v>529</v>
      </c>
      <c r="CQ48" s="2" t="s">
        <v>369</v>
      </c>
      <c r="CR48" s="2" t="s">
        <v>370</v>
      </c>
      <c r="CS48" s="2" t="s">
        <v>529</v>
      </c>
      <c r="CT48" s="2" t="s">
        <v>368</v>
      </c>
      <c r="CU48" s="2" t="s">
        <v>372</v>
      </c>
    </row>
    <row r="49" ht="12.75" customHeight="1">
      <c r="A49" s="2">
        <v>48.0</v>
      </c>
      <c r="B49" s="2">
        <v>1.0</v>
      </c>
      <c r="C49" s="2" t="s">
        <v>358</v>
      </c>
      <c r="D49" s="2" t="s">
        <v>359</v>
      </c>
      <c r="E49" s="2" t="s">
        <v>473</v>
      </c>
      <c r="F49" s="2" t="s">
        <v>437</v>
      </c>
      <c r="G49" s="2" t="s">
        <v>437</v>
      </c>
      <c r="H49" s="2" t="s">
        <v>362</v>
      </c>
      <c r="I49" s="2" t="s">
        <v>1696</v>
      </c>
      <c r="J49" s="2" t="s">
        <v>599</v>
      </c>
      <c r="K49" s="2" t="s">
        <v>366</v>
      </c>
      <c r="L49" s="2" t="s">
        <v>599</v>
      </c>
      <c r="M49" s="2" t="s">
        <v>368</v>
      </c>
      <c r="N49" s="2" t="s">
        <v>441</v>
      </c>
      <c r="O49" s="2" t="s">
        <v>442</v>
      </c>
      <c r="P49" s="2" t="s">
        <v>762</v>
      </c>
      <c r="Q49" s="2" t="s">
        <v>480</v>
      </c>
      <c r="R49" s="2" t="s">
        <v>480</v>
      </c>
      <c r="S49" s="2" t="s">
        <v>444</v>
      </c>
      <c r="T49" s="2" t="s">
        <v>444</v>
      </c>
      <c r="U49" s="2" t="s">
        <v>376</v>
      </c>
      <c r="V49" s="2" t="s">
        <v>376</v>
      </c>
      <c r="W49" s="2" t="s">
        <v>444</v>
      </c>
      <c r="X49" s="2" t="s">
        <v>444</v>
      </c>
      <c r="Y49" s="2" t="s">
        <v>444</v>
      </c>
      <c r="Z49" s="2" t="s">
        <v>444</v>
      </c>
      <c r="AA49" s="2" t="s">
        <v>1031</v>
      </c>
      <c r="AB49" s="2" t="s">
        <v>1703</v>
      </c>
      <c r="AC49" s="2" t="s">
        <v>385</v>
      </c>
      <c r="AD49" s="2" t="s">
        <v>387</v>
      </c>
      <c r="AE49" s="2" t="s">
        <v>388</v>
      </c>
      <c r="AF49" s="2" t="s">
        <v>33</v>
      </c>
      <c r="AG49" s="2" t="s">
        <v>33</v>
      </c>
      <c r="AH49" s="2" t="s">
        <v>33</v>
      </c>
      <c r="AI49" s="2" t="s">
        <v>33</v>
      </c>
      <c r="AJ49" s="2" t="s">
        <v>33</v>
      </c>
      <c r="AK49" s="2" t="s">
        <v>33</v>
      </c>
      <c r="AL49" s="2">
        <v>4.0</v>
      </c>
      <c r="AM49" s="2">
        <v>3.0</v>
      </c>
      <c r="AN49" s="2">
        <v>2.0</v>
      </c>
      <c r="AO49" s="2">
        <v>2.0</v>
      </c>
      <c r="AP49" s="2">
        <v>2.0</v>
      </c>
      <c r="AQ49" s="2">
        <v>1.0</v>
      </c>
      <c r="AR49" s="2">
        <v>2.0</v>
      </c>
      <c r="AS49" s="2">
        <v>4.0</v>
      </c>
      <c r="AT49" s="2">
        <v>4.0</v>
      </c>
      <c r="AU49" s="2">
        <v>1.0</v>
      </c>
      <c r="AV49" s="2">
        <v>4.0</v>
      </c>
      <c r="AW49" s="2">
        <v>4.0</v>
      </c>
      <c r="AX49" s="2">
        <v>1.0</v>
      </c>
      <c r="AY49" s="2">
        <v>1.0</v>
      </c>
      <c r="AZ49" s="2">
        <v>1.0</v>
      </c>
      <c r="BA49" s="2">
        <v>5.0</v>
      </c>
      <c r="BB49" s="2">
        <v>1.0</v>
      </c>
      <c r="BC49" s="2">
        <v>1.0</v>
      </c>
      <c r="BD49" s="2">
        <v>2.0</v>
      </c>
      <c r="BE49" s="2">
        <v>5.0</v>
      </c>
      <c r="BF49" s="2">
        <v>1.0</v>
      </c>
      <c r="BG49" s="2">
        <v>2.0</v>
      </c>
      <c r="BH49" s="2">
        <v>1.0</v>
      </c>
      <c r="BI49" s="2">
        <v>1.0</v>
      </c>
      <c r="BJ49" s="2">
        <v>1.0</v>
      </c>
      <c r="BK49" s="2">
        <v>1.0</v>
      </c>
      <c r="BL49" s="2">
        <v>1.0</v>
      </c>
      <c r="BM49" s="2">
        <v>1.0</v>
      </c>
      <c r="BN49" s="2">
        <v>2.0</v>
      </c>
      <c r="BO49" s="2">
        <v>1.0</v>
      </c>
      <c r="BP49" s="2">
        <v>1.0</v>
      </c>
      <c r="BQ49" s="2" t="s">
        <v>389</v>
      </c>
      <c r="BR49" s="2" t="s">
        <v>390</v>
      </c>
      <c r="BS49" s="2" t="s">
        <v>391</v>
      </c>
      <c r="BT49" s="2" t="s">
        <v>392</v>
      </c>
      <c r="BU49" s="2" t="s">
        <v>393</v>
      </c>
      <c r="BV49" s="2" t="s">
        <v>394</v>
      </c>
      <c r="BW49" s="2" t="s">
        <v>395</v>
      </c>
      <c r="BX49" s="2" t="s">
        <v>396</v>
      </c>
      <c r="BY49" s="2" t="s">
        <v>33</v>
      </c>
      <c r="BZ49" s="2" t="s">
        <v>33</v>
      </c>
      <c r="CA49" s="2" t="s">
        <v>33</v>
      </c>
      <c r="CB49" s="2" t="s">
        <v>33</v>
      </c>
      <c r="CC49" s="2" t="s">
        <v>1716</v>
      </c>
      <c r="CD49" s="2">
        <v>3.0</v>
      </c>
      <c r="CE49" s="2" t="s">
        <v>1172</v>
      </c>
      <c r="CF49" s="2" t="s">
        <v>33</v>
      </c>
      <c r="CG49" s="2" t="s">
        <v>33</v>
      </c>
      <c r="CH49" s="2" t="s">
        <v>33</v>
      </c>
      <c r="CI49" s="2" t="s">
        <v>33</v>
      </c>
      <c r="CJ49" s="2" t="s">
        <v>33</v>
      </c>
      <c r="CK49" s="2" t="s">
        <v>1696</v>
      </c>
      <c r="CL49" s="2" t="s">
        <v>466</v>
      </c>
      <c r="CM49" s="4">
        <v>45379.0</v>
      </c>
      <c r="CN49" s="4">
        <v>45380.0</v>
      </c>
      <c r="CO49" s="2">
        <v>2.0</v>
      </c>
      <c r="CP49" s="2" t="s">
        <v>529</v>
      </c>
      <c r="CQ49" s="2" t="s">
        <v>441</v>
      </c>
      <c r="CR49" s="2" t="s">
        <v>442</v>
      </c>
      <c r="CS49" s="2" t="s">
        <v>529</v>
      </c>
      <c r="CT49" s="2" t="s">
        <v>368</v>
      </c>
      <c r="CU49" s="2" t="s">
        <v>762</v>
      </c>
    </row>
    <row r="50" ht="12.75" customHeight="1">
      <c r="A50" s="2">
        <v>49.0</v>
      </c>
      <c r="B50" s="2">
        <v>2.0</v>
      </c>
      <c r="C50" s="2" t="s">
        <v>358</v>
      </c>
      <c r="D50" s="2" t="s">
        <v>359</v>
      </c>
      <c r="E50" s="2" t="s">
        <v>473</v>
      </c>
      <c r="F50" s="2" t="s">
        <v>437</v>
      </c>
      <c r="G50" s="2" t="s">
        <v>437</v>
      </c>
      <c r="H50" s="2" t="s">
        <v>540</v>
      </c>
      <c r="I50" s="2" t="s">
        <v>438</v>
      </c>
      <c r="J50" s="2" t="s">
        <v>438</v>
      </c>
      <c r="K50" s="2" t="s">
        <v>366</v>
      </c>
      <c r="L50" s="2" t="s">
        <v>440</v>
      </c>
      <c r="M50" s="2" t="s">
        <v>368</v>
      </c>
      <c r="N50" s="2" t="s">
        <v>441</v>
      </c>
      <c r="O50" s="2" t="s">
        <v>370</v>
      </c>
      <c r="P50" s="2" t="s">
        <v>762</v>
      </c>
      <c r="Q50" s="2" t="s">
        <v>480</v>
      </c>
      <c r="R50" s="2" t="s">
        <v>480</v>
      </c>
      <c r="S50" s="2" t="s">
        <v>376</v>
      </c>
      <c r="T50" s="2" t="s">
        <v>376</v>
      </c>
      <c r="U50" s="2" t="s">
        <v>378</v>
      </c>
      <c r="V50" s="2" t="s">
        <v>376</v>
      </c>
      <c r="W50" s="2" t="s">
        <v>444</v>
      </c>
      <c r="X50" s="2" t="s">
        <v>444</v>
      </c>
      <c r="Y50" s="2" t="s">
        <v>444</v>
      </c>
      <c r="Z50" s="2" t="s">
        <v>444</v>
      </c>
      <c r="AA50" s="2" t="s">
        <v>864</v>
      </c>
      <c r="AB50" s="2" t="s">
        <v>490</v>
      </c>
      <c r="AC50" s="2" t="s">
        <v>806</v>
      </c>
      <c r="AD50" s="2" t="s">
        <v>33</v>
      </c>
      <c r="AE50" s="2" t="s">
        <v>33</v>
      </c>
      <c r="AF50" s="2" t="s">
        <v>33</v>
      </c>
      <c r="AG50" s="2" t="s">
        <v>33</v>
      </c>
      <c r="AH50" s="2" t="s">
        <v>33</v>
      </c>
      <c r="AI50" s="2" t="s">
        <v>33</v>
      </c>
      <c r="AJ50" s="2" t="s">
        <v>33</v>
      </c>
      <c r="AK50" s="2" t="s">
        <v>33</v>
      </c>
      <c r="AL50" s="2">
        <v>2.0</v>
      </c>
      <c r="AM50" s="2">
        <v>3.0</v>
      </c>
      <c r="AN50" s="2">
        <v>1.0</v>
      </c>
      <c r="AO50" s="2">
        <v>1.0</v>
      </c>
      <c r="AP50" s="2">
        <v>1.0</v>
      </c>
      <c r="AQ50" s="2">
        <v>1.0</v>
      </c>
      <c r="AR50" s="2">
        <v>3.0</v>
      </c>
      <c r="AS50" s="2">
        <v>3.0</v>
      </c>
      <c r="AT50" s="2">
        <v>2.0</v>
      </c>
      <c r="AU50" s="2">
        <v>1.0</v>
      </c>
      <c r="AV50" s="2">
        <v>5.0</v>
      </c>
      <c r="AW50" s="2">
        <v>1.0</v>
      </c>
      <c r="AX50" s="2">
        <v>1.0</v>
      </c>
      <c r="AY50" s="2">
        <v>4.0</v>
      </c>
      <c r="AZ50" s="2">
        <v>1.0</v>
      </c>
      <c r="BA50" s="2">
        <v>4.0</v>
      </c>
      <c r="BB50" s="2">
        <v>3.0</v>
      </c>
      <c r="BC50" s="2">
        <v>3.0</v>
      </c>
      <c r="BD50" s="2">
        <v>1.0</v>
      </c>
      <c r="BE50" s="2">
        <v>1.0</v>
      </c>
      <c r="BF50" s="2">
        <v>1.0</v>
      </c>
      <c r="BG50" s="2">
        <v>1.0</v>
      </c>
      <c r="BH50" s="2">
        <v>1.0</v>
      </c>
      <c r="BI50" s="2">
        <v>1.0</v>
      </c>
      <c r="BJ50" s="2">
        <v>1.0</v>
      </c>
      <c r="BK50" s="2">
        <v>1.0</v>
      </c>
      <c r="BL50" s="2">
        <v>1.0</v>
      </c>
      <c r="BM50" s="2">
        <v>1.0</v>
      </c>
      <c r="BN50" s="2">
        <v>3.0</v>
      </c>
      <c r="BO50" s="2">
        <v>1.0</v>
      </c>
      <c r="BP50" s="2">
        <v>2.0</v>
      </c>
      <c r="BQ50" s="2" t="s">
        <v>389</v>
      </c>
      <c r="BR50" s="2" t="s">
        <v>390</v>
      </c>
      <c r="BS50" s="2" t="s">
        <v>392</v>
      </c>
      <c r="BT50" s="2" t="s">
        <v>393</v>
      </c>
      <c r="BU50" s="2" t="s">
        <v>394</v>
      </c>
      <c r="BV50" s="2" t="s">
        <v>396</v>
      </c>
      <c r="BW50" s="2" t="s">
        <v>33</v>
      </c>
      <c r="BX50" s="2" t="s">
        <v>33</v>
      </c>
      <c r="BY50" s="2" t="s">
        <v>33</v>
      </c>
      <c r="BZ50" s="2" t="s">
        <v>33</v>
      </c>
      <c r="CA50" s="2" t="s">
        <v>33</v>
      </c>
      <c r="CB50" s="2" t="s">
        <v>33</v>
      </c>
      <c r="CC50" s="3" t="s">
        <v>1738</v>
      </c>
      <c r="CD50" s="2">
        <v>3.0</v>
      </c>
      <c r="CE50" s="2" t="s">
        <v>952</v>
      </c>
      <c r="CF50" s="2" t="s">
        <v>998</v>
      </c>
      <c r="CG50" s="2" t="s">
        <v>33</v>
      </c>
      <c r="CH50" s="2" t="s">
        <v>33</v>
      </c>
      <c r="CI50" s="2" t="s">
        <v>33</v>
      </c>
      <c r="CJ50" s="2" t="s">
        <v>33</v>
      </c>
      <c r="CK50" s="2" t="s">
        <v>438</v>
      </c>
      <c r="CL50" s="2" t="s">
        <v>466</v>
      </c>
      <c r="CM50" s="4">
        <v>45379.0</v>
      </c>
      <c r="CN50" s="4">
        <v>45382.0</v>
      </c>
      <c r="CO50" s="2">
        <v>4.0</v>
      </c>
      <c r="CP50" s="2" t="s">
        <v>529</v>
      </c>
      <c r="CQ50" s="2" t="s">
        <v>441</v>
      </c>
      <c r="CR50" s="2" t="s">
        <v>370</v>
      </c>
      <c r="CS50" s="2" t="s">
        <v>529</v>
      </c>
      <c r="CT50" s="2" t="s">
        <v>368</v>
      </c>
      <c r="CU50" s="2" t="s">
        <v>762</v>
      </c>
    </row>
    <row r="51" ht="12.75" customHeight="1">
      <c r="A51" s="2">
        <v>50.0</v>
      </c>
      <c r="B51" s="2">
        <v>2.0</v>
      </c>
      <c r="C51" s="2" t="s">
        <v>358</v>
      </c>
      <c r="D51" s="2" t="s">
        <v>359</v>
      </c>
      <c r="E51" s="2" t="s">
        <v>360</v>
      </c>
      <c r="F51" s="2" t="s">
        <v>539</v>
      </c>
      <c r="G51" s="2" t="s">
        <v>539</v>
      </c>
      <c r="H51" s="2" t="s">
        <v>540</v>
      </c>
      <c r="I51" s="2" t="s">
        <v>1744</v>
      </c>
      <c r="J51" s="2" t="s">
        <v>599</v>
      </c>
      <c r="K51" s="2" t="s">
        <v>366</v>
      </c>
      <c r="L51" s="2" t="s">
        <v>599</v>
      </c>
      <c r="M51" s="2" t="s">
        <v>368</v>
      </c>
      <c r="N51" s="2" t="s">
        <v>369</v>
      </c>
      <c r="O51" s="2" t="s">
        <v>370</v>
      </c>
      <c r="P51" s="2" t="s">
        <v>372</v>
      </c>
      <c r="Q51" s="2" t="s">
        <v>606</v>
      </c>
      <c r="R51" s="2" t="s">
        <v>1747</v>
      </c>
      <c r="S51" s="2" t="s">
        <v>444</v>
      </c>
      <c r="T51" s="2" t="s">
        <v>444</v>
      </c>
      <c r="U51" s="2" t="s">
        <v>378</v>
      </c>
      <c r="V51" s="2" t="s">
        <v>376</v>
      </c>
      <c r="W51" s="2" t="s">
        <v>444</v>
      </c>
      <c r="X51" s="2" t="s">
        <v>444</v>
      </c>
      <c r="Y51" s="2" t="s">
        <v>444</v>
      </c>
      <c r="Z51" s="2" t="s">
        <v>444</v>
      </c>
      <c r="AA51" s="2" t="s">
        <v>447</v>
      </c>
      <c r="AB51" s="2" t="s">
        <v>551</v>
      </c>
      <c r="AC51" s="2" t="s">
        <v>450</v>
      </c>
      <c r="AD51" s="2" t="s">
        <v>451</v>
      </c>
      <c r="AE51" s="2" t="s">
        <v>452</v>
      </c>
      <c r="AF51" s="2" t="s">
        <v>387</v>
      </c>
      <c r="AG51" s="2" t="s">
        <v>388</v>
      </c>
      <c r="AH51" s="2" t="s">
        <v>33</v>
      </c>
      <c r="AI51" s="2" t="s">
        <v>33</v>
      </c>
      <c r="AJ51" s="2" t="s">
        <v>33</v>
      </c>
      <c r="AK51" s="2" t="s">
        <v>33</v>
      </c>
      <c r="AL51" s="2">
        <v>3.0</v>
      </c>
      <c r="AM51" s="2">
        <v>5.0</v>
      </c>
      <c r="AN51" s="2">
        <v>1.0</v>
      </c>
      <c r="AO51" s="2">
        <v>3.0</v>
      </c>
      <c r="AP51" s="2">
        <v>3.0</v>
      </c>
      <c r="AQ51" s="2">
        <v>1.0</v>
      </c>
      <c r="AR51" s="2">
        <v>2.0</v>
      </c>
      <c r="AS51" s="2">
        <v>3.0</v>
      </c>
      <c r="AT51" s="2">
        <v>3.0</v>
      </c>
      <c r="AU51" s="2">
        <v>3.0</v>
      </c>
      <c r="AV51" s="2">
        <v>5.0</v>
      </c>
      <c r="AW51" s="2">
        <v>5.0</v>
      </c>
      <c r="AX51" s="2">
        <v>3.0</v>
      </c>
      <c r="AY51" s="2">
        <v>2.0</v>
      </c>
      <c r="AZ51" s="2">
        <v>3.0</v>
      </c>
      <c r="BA51" s="2">
        <v>2.0</v>
      </c>
      <c r="BB51" s="2">
        <v>1.0</v>
      </c>
      <c r="BC51" s="2">
        <v>2.0</v>
      </c>
      <c r="BD51" s="2">
        <v>3.0</v>
      </c>
      <c r="BE51" s="2">
        <v>4.0</v>
      </c>
      <c r="BF51" s="2">
        <v>1.0</v>
      </c>
      <c r="BG51" s="2">
        <v>1.0</v>
      </c>
      <c r="BH51" s="2">
        <v>1.0</v>
      </c>
      <c r="BI51" s="2">
        <v>1.0</v>
      </c>
      <c r="BJ51" s="2">
        <v>2.0</v>
      </c>
      <c r="BK51" s="2">
        <v>1.0</v>
      </c>
      <c r="BL51" s="2">
        <v>1.0</v>
      </c>
      <c r="BM51" s="2">
        <v>1.0</v>
      </c>
      <c r="BN51" s="2">
        <v>5.0</v>
      </c>
      <c r="BO51" s="2">
        <v>1.0</v>
      </c>
      <c r="BP51" s="2">
        <v>2.0</v>
      </c>
      <c r="BQ51" s="2" t="s">
        <v>568</v>
      </c>
      <c r="BR51" s="2" t="s">
        <v>389</v>
      </c>
      <c r="BS51" s="2" t="s">
        <v>390</v>
      </c>
      <c r="BT51" s="2" t="s">
        <v>391</v>
      </c>
      <c r="BU51" s="2" t="s">
        <v>392</v>
      </c>
      <c r="BV51" s="2" t="s">
        <v>393</v>
      </c>
      <c r="BW51" s="2" t="s">
        <v>395</v>
      </c>
      <c r="BX51" s="2" t="s">
        <v>396</v>
      </c>
      <c r="BY51" s="2" t="s">
        <v>33</v>
      </c>
      <c r="BZ51" s="2" t="s">
        <v>33</v>
      </c>
      <c r="CA51" s="2" t="s">
        <v>33</v>
      </c>
      <c r="CB51" s="2" t="s">
        <v>33</v>
      </c>
      <c r="CC51" s="2" t="s">
        <v>1764</v>
      </c>
      <c r="CD51" s="2">
        <v>6.0</v>
      </c>
      <c r="CE51" s="2" t="s">
        <v>1172</v>
      </c>
      <c r="CF51" s="2" t="s">
        <v>952</v>
      </c>
      <c r="CG51" s="2" t="s">
        <v>1083</v>
      </c>
      <c r="CH51" s="2" t="s">
        <v>999</v>
      </c>
      <c r="CI51" s="2" t="s">
        <v>33</v>
      </c>
      <c r="CJ51" s="2" t="s">
        <v>33</v>
      </c>
      <c r="CK51" s="2" t="s">
        <v>1744</v>
      </c>
      <c r="CL51" s="2" t="s">
        <v>466</v>
      </c>
      <c r="CM51" s="4">
        <v>45375.0</v>
      </c>
      <c r="CN51" s="4">
        <v>45380.0</v>
      </c>
      <c r="CO51" s="2">
        <v>6.0</v>
      </c>
      <c r="CP51" s="2" t="s">
        <v>434</v>
      </c>
      <c r="CQ51" s="2" t="s">
        <v>369</v>
      </c>
      <c r="CR51" s="2" t="s">
        <v>370</v>
      </c>
      <c r="CS51" s="2" t="s">
        <v>434</v>
      </c>
      <c r="CT51" s="2" t="s">
        <v>368</v>
      </c>
      <c r="CU51" s="2" t="s">
        <v>372</v>
      </c>
    </row>
    <row r="52" ht="12.75" customHeight="1">
      <c r="A52" s="2">
        <v>51.0</v>
      </c>
      <c r="B52" s="2">
        <v>1.0</v>
      </c>
      <c r="C52" s="2" t="s">
        <v>358</v>
      </c>
      <c r="D52" s="2" t="s">
        <v>359</v>
      </c>
      <c r="E52" s="2" t="s">
        <v>801</v>
      </c>
      <c r="F52" s="2" t="s">
        <v>437</v>
      </c>
      <c r="G52" s="2" t="s">
        <v>437</v>
      </c>
      <c r="H52" s="2" t="s">
        <v>362</v>
      </c>
      <c r="I52" s="2" t="s">
        <v>363</v>
      </c>
      <c r="J52" s="2" t="s">
        <v>365</v>
      </c>
      <c r="K52" s="2" t="s">
        <v>366</v>
      </c>
      <c r="L52" s="2" t="s">
        <v>367</v>
      </c>
      <c r="M52" s="2" t="s">
        <v>645</v>
      </c>
      <c r="N52" s="2" t="s">
        <v>802</v>
      </c>
      <c r="O52" s="2" t="s">
        <v>442</v>
      </c>
      <c r="P52" s="2" t="s">
        <v>372</v>
      </c>
      <c r="Q52" s="2" t="s">
        <v>480</v>
      </c>
      <c r="R52" s="2" t="s">
        <v>480</v>
      </c>
      <c r="S52" s="2" t="s">
        <v>378</v>
      </c>
      <c r="T52" s="2" t="s">
        <v>378</v>
      </c>
      <c r="U52" s="2" t="s">
        <v>378</v>
      </c>
      <c r="V52" s="2" t="s">
        <v>378</v>
      </c>
      <c r="W52" s="2" t="s">
        <v>444</v>
      </c>
      <c r="X52" s="2" t="s">
        <v>444</v>
      </c>
      <c r="Y52" s="2" t="s">
        <v>444</v>
      </c>
      <c r="Z52" s="2" t="s">
        <v>444</v>
      </c>
      <c r="AA52" s="2" t="s">
        <v>1031</v>
      </c>
      <c r="AB52" s="2" t="s">
        <v>551</v>
      </c>
      <c r="AC52" s="2" t="s">
        <v>552</v>
      </c>
      <c r="AD52" s="2" t="s">
        <v>452</v>
      </c>
      <c r="AE52" s="2" t="s">
        <v>387</v>
      </c>
      <c r="AF52" s="2" t="s">
        <v>388</v>
      </c>
      <c r="AG52" s="2" t="s">
        <v>455</v>
      </c>
      <c r="AH52" s="2" t="s">
        <v>33</v>
      </c>
      <c r="AI52" s="2" t="s">
        <v>33</v>
      </c>
      <c r="AJ52" s="2" t="s">
        <v>33</v>
      </c>
      <c r="AK52" s="2" t="s">
        <v>33</v>
      </c>
      <c r="AL52" s="2">
        <v>2.0</v>
      </c>
      <c r="AM52" s="2">
        <v>4.0</v>
      </c>
      <c r="AN52" s="2">
        <v>2.0</v>
      </c>
      <c r="AO52" s="2">
        <v>2.0</v>
      </c>
      <c r="AP52" s="2">
        <v>3.0</v>
      </c>
      <c r="AQ52" s="2">
        <v>1.0</v>
      </c>
      <c r="AR52" s="2">
        <v>2.0</v>
      </c>
      <c r="AS52" s="2">
        <v>3.0</v>
      </c>
      <c r="AT52" s="2">
        <v>2.0</v>
      </c>
      <c r="AU52" s="2">
        <v>2.0</v>
      </c>
      <c r="AV52" s="2">
        <v>3.0</v>
      </c>
      <c r="AW52" s="2">
        <v>2.0</v>
      </c>
      <c r="AX52" s="2">
        <v>2.0</v>
      </c>
      <c r="AY52" s="2">
        <v>2.0</v>
      </c>
      <c r="AZ52" s="2">
        <v>2.0</v>
      </c>
      <c r="BA52" s="2">
        <v>3.0</v>
      </c>
      <c r="BB52" s="2">
        <v>2.0</v>
      </c>
      <c r="BC52" s="2">
        <v>3.0</v>
      </c>
      <c r="BD52" s="2">
        <v>3.0</v>
      </c>
      <c r="BE52" s="2">
        <v>5.0</v>
      </c>
      <c r="BF52" s="2">
        <v>1.0</v>
      </c>
      <c r="BG52" s="2">
        <v>2.0</v>
      </c>
      <c r="BH52" s="2">
        <v>1.0</v>
      </c>
      <c r="BI52" s="2">
        <v>1.0</v>
      </c>
      <c r="BJ52" s="2">
        <v>2.0</v>
      </c>
      <c r="BK52" s="2">
        <v>2.0</v>
      </c>
      <c r="BL52" s="2">
        <v>2.0</v>
      </c>
      <c r="BM52" s="2">
        <v>1.0</v>
      </c>
      <c r="BN52" s="2">
        <v>3.0</v>
      </c>
      <c r="BO52" s="2">
        <v>1.0</v>
      </c>
      <c r="BP52" s="2">
        <v>2.0</v>
      </c>
      <c r="BQ52" s="2" t="s">
        <v>389</v>
      </c>
      <c r="BR52" s="2" t="s">
        <v>390</v>
      </c>
      <c r="BS52" s="2" t="s">
        <v>391</v>
      </c>
      <c r="BT52" s="2" t="s">
        <v>393</v>
      </c>
      <c r="BU52" s="2" t="s">
        <v>396</v>
      </c>
      <c r="BV52" s="2" t="s">
        <v>33</v>
      </c>
      <c r="BW52" s="2" t="s">
        <v>33</v>
      </c>
      <c r="BX52" s="2" t="s">
        <v>33</v>
      </c>
      <c r="BY52" s="2" t="s">
        <v>33</v>
      </c>
      <c r="BZ52" s="2" t="s">
        <v>33</v>
      </c>
      <c r="CA52" s="2" t="s">
        <v>33</v>
      </c>
      <c r="CB52" s="2" t="s">
        <v>33</v>
      </c>
      <c r="CC52" s="3" t="s">
        <v>1804</v>
      </c>
      <c r="CD52" s="2">
        <v>5.0</v>
      </c>
      <c r="CE52" s="2" t="s">
        <v>794</v>
      </c>
      <c r="CF52" s="2" t="s">
        <v>952</v>
      </c>
      <c r="CG52" s="2" t="s">
        <v>1083</v>
      </c>
      <c r="CH52" s="2" t="s">
        <v>999</v>
      </c>
      <c r="CI52" s="2" t="s">
        <v>33</v>
      </c>
      <c r="CJ52" s="2" t="s">
        <v>33</v>
      </c>
      <c r="CK52" s="2" t="s">
        <v>425</v>
      </c>
      <c r="CL52" s="2" t="s">
        <v>367</v>
      </c>
      <c r="CM52" s="2" t="s">
        <v>33</v>
      </c>
      <c r="CN52" s="2" t="s">
        <v>33</v>
      </c>
      <c r="CO52" s="2" t="s">
        <v>33</v>
      </c>
      <c r="CP52" s="2" t="s">
        <v>529</v>
      </c>
      <c r="CQ52" s="2" t="s">
        <v>802</v>
      </c>
      <c r="CR52" s="2" t="s">
        <v>442</v>
      </c>
      <c r="CS52" s="2" t="s">
        <v>529</v>
      </c>
      <c r="CT52" s="2" t="s">
        <v>645</v>
      </c>
      <c r="CU52" s="2" t="s">
        <v>372</v>
      </c>
    </row>
    <row r="53" ht="12.75" customHeight="1">
      <c r="A53" s="2">
        <v>52.0</v>
      </c>
      <c r="B53" s="2">
        <v>3.0</v>
      </c>
      <c r="C53" s="2" t="s">
        <v>358</v>
      </c>
      <c r="D53" s="2" t="s">
        <v>359</v>
      </c>
      <c r="E53" s="2" t="s">
        <v>473</v>
      </c>
      <c r="F53" s="2" t="s">
        <v>437</v>
      </c>
      <c r="G53" s="2" t="s">
        <v>437</v>
      </c>
      <c r="H53" s="2" t="s">
        <v>362</v>
      </c>
      <c r="I53" s="2" t="s">
        <v>859</v>
      </c>
      <c r="J53" s="2" t="s">
        <v>599</v>
      </c>
      <c r="K53" s="2" t="s">
        <v>366</v>
      </c>
      <c r="L53" s="2" t="s">
        <v>599</v>
      </c>
      <c r="M53" s="2" t="s">
        <v>368</v>
      </c>
      <c r="N53" s="2" t="s">
        <v>369</v>
      </c>
      <c r="O53" s="2" t="s">
        <v>442</v>
      </c>
      <c r="P53" s="2" t="s">
        <v>372</v>
      </c>
      <c r="Q53" s="2" t="s">
        <v>480</v>
      </c>
      <c r="R53" s="2" t="s">
        <v>480</v>
      </c>
      <c r="S53" s="2" t="s">
        <v>444</v>
      </c>
      <c r="T53" s="2" t="s">
        <v>378</v>
      </c>
      <c r="U53" s="2" t="s">
        <v>376</v>
      </c>
      <c r="V53" s="2" t="s">
        <v>378</v>
      </c>
      <c r="W53" s="2" t="s">
        <v>444</v>
      </c>
      <c r="X53" s="2" t="s">
        <v>444</v>
      </c>
      <c r="Y53" s="2" t="s">
        <v>378</v>
      </c>
      <c r="Z53" s="2" t="s">
        <v>444</v>
      </c>
      <c r="AA53" s="2" t="s">
        <v>447</v>
      </c>
      <c r="AB53" s="2" t="s">
        <v>490</v>
      </c>
      <c r="AC53" s="2" t="s">
        <v>450</v>
      </c>
      <c r="AD53" s="2" t="s">
        <v>452</v>
      </c>
      <c r="AE53" s="2" t="s">
        <v>386</v>
      </c>
      <c r="AF53" s="2" t="s">
        <v>387</v>
      </c>
      <c r="AG53" s="2" t="s">
        <v>388</v>
      </c>
      <c r="AH53" s="2" t="s">
        <v>455</v>
      </c>
      <c r="AI53" s="2" t="s">
        <v>33</v>
      </c>
      <c r="AJ53" s="2" t="s">
        <v>33</v>
      </c>
      <c r="AK53" s="2" t="s">
        <v>33</v>
      </c>
      <c r="AL53" s="2">
        <v>2.0</v>
      </c>
      <c r="AM53" s="2">
        <v>2.0</v>
      </c>
      <c r="AN53" s="2">
        <v>2.0</v>
      </c>
      <c r="AO53" s="2">
        <v>3.0</v>
      </c>
      <c r="AP53" s="2">
        <v>4.0</v>
      </c>
      <c r="AQ53" s="2">
        <v>3.0</v>
      </c>
      <c r="AR53" s="2">
        <v>1.0</v>
      </c>
      <c r="AS53" s="2">
        <v>2.0</v>
      </c>
      <c r="AT53" s="2">
        <v>1.0</v>
      </c>
      <c r="AU53" s="2">
        <v>1.0</v>
      </c>
      <c r="AV53" s="2">
        <v>4.0</v>
      </c>
      <c r="AW53" s="2">
        <v>1.0</v>
      </c>
      <c r="AX53" s="2">
        <v>1.0</v>
      </c>
      <c r="AY53" s="2">
        <v>1.0</v>
      </c>
      <c r="AZ53" s="2">
        <v>1.0</v>
      </c>
      <c r="BA53" s="2">
        <v>1.0</v>
      </c>
      <c r="BB53" s="2">
        <v>1.0</v>
      </c>
      <c r="BC53" s="2">
        <v>2.0</v>
      </c>
      <c r="BD53" s="2">
        <v>1.0</v>
      </c>
      <c r="BE53" s="2">
        <v>4.0</v>
      </c>
      <c r="BF53" s="2">
        <v>3.0</v>
      </c>
      <c r="BG53" s="2">
        <v>1.0</v>
      </c>
      <c r="BH53" s="2">
        <v>1.0</v>
      </c>
      <c r="BI53" s="2">
        <v>1.0</v>
      </c>
      <c r="BJ53" s="2">
        <v>1.0</v>
      </c>
      <c r="BK53" s="2">
        <v>1.0</v>
      </c>
      <c r="BL53" s="2">
        <v>1.0</v>
      </c>
      <c r="BM53" s="2">
        <v>1.0</v>
      </c>
      <c r="BN53" s="2">
        <v>5.0</v>
      </c>
      <c r="BO53" s="2">
        <v>1.0</v>
      </c>
      <c r="BP53" s="2">
        <v>1.0</v>
      </c>
      <c r="BQ53" s="2" t="s">
        <v>568</v>
      </c>
      <c r="BR53" s="2" t="s">
        <v>390</v>
      </c>
      <c r="BS53" s="2" t="s">
        <v>391</v>
      </c>
      <c r="BT53" s="2" t="s">
        <v>392</v>
      </c>
      <c r="BU53" s="2" t="s">
        <v>393</v>
      </c>
      <c r="BV53" s="2" t="s">
        <v>394</v>
      </c>
      <c r="BW53" s="2" t="s">
        <v>396</v>
      </c>
      <c r="BX53" s="2" t="s">
        <v>730</v>
      </c>
      <c r="BY53" s="2" t="s">
        <v>33</v>
      </c>
      <c r="BZ53" s="2" t="s">
        <v>33</v>
      </c>
      <c r="CA53" s="2" t="s">
        <v>33</v>
      </c>
      <c r="CB53" s="2" t="s">
        <v>33</v>
      </c>
      <c r="CC53" s="2" t="s">
        <v>1837</v>
      </c>
      <c r="CD53" s="2">
        <v>5.0</v>
      </c>
      <c r="CE53" s="2" t="s">
        <v>794</v>
      </c>
      <c r="CF53" s="2" t="s">
        <v>952</v>
      </c>
      <c r="CG53" s="2" t="s">
        <v>998</v>
      </c>
      <c r="CH53" s="2" t="s">
        <v>999</v>
      </c>
      <c r="CI53" s="2" t="s">
        <v>33</v>
      </c>
      <c r="CJ53" s="2" t="s">
        <v>33</v>
      </c>
      <c r="CK53" s="2" t="s">
        <v>859</v>
      </c>
      <c r="CL53" s="2" t="s">
        <v>466</v>
      </c>
      <c r="CM53" s="4">
        <v>45378.0</v>
      </c>
      <c r="CN53" s="4">
        <v>45385.0</v>
      </c>
      <c r="CO53" s="2">
        <v>8.0</v>
      </c>
      <c r="CP53" s="2" t="s">
        <v>529</v>
      </c>
      <c r="CQ53" s="2" t="s">
        <v>369</v>
      </c>
      <c r="CR53" s="2" t="s">
        <v>442</v>
      </c>
      <c r="CS53" s="2" t="s">
        <v>529</v>
      </c>
      <c r="CT53" s="2" t="s">
        <v>368</v>
      </c>
      <c r="CU53" s="2" t="s">
        <v>372</v>
      </c>
    </row>
    <row r="54" ht="12.75" customHeight="1">
      <c r="A54" s="2">
        <v>53.0</v>
      </c>
      <c r="B54" s="2">
        <v>5.0</v>
      </c>
      <c r="C54" s="2" t="s">
        <v>358</v>
      </c>
      <c r="D54" s="2" t="s">
        <v>359</v>
      </c>
      <c r="E54" s="2" t="s">
        <v>360</v>
      </c>
      <c r="F54" s="2" t="s">
        <v>437</v>
      </c>
      <c r="G54" s="2" t="s">
        <v>437</v>
      </c>
      <c r="H54" s="2" t="s">
        <v>540</v>
      </c>
      <c r="I54" s="2" t="s">
        <v>1575</v>
      </c>
      <c r="J54" s="2" t="s">
        <v>365</v>
      </c>
      <c r="K54" s="2" t="s">
        <v>366</v>
      </c>
      <c r="L54" s="2" t="s">
        <v>440</v>
      </c>
      <c r="M54" s="2" t="s">
        <v>368</v>
      </c>
      <c r="N54" s="2" t="s">
        <v>441</v>
      </c>
      <c r="O54" s="2" t="s">
        <v>479</v>
      </c>
      <c r="P54" s="2" t="s">
        <v>762</v>
      </c>
      <c r="Q54" s="2" t="s">
        <v>480</v>
      </c>
      <c r="R54" s="2" t="s">
        <v>480</v>
      </c>
      <c r="S54" s="2" t="s">
        <v>378</v>
      </c>
      <c r="T54" s="2" t="s">
        <v>378</v>
      </c>
      <c r="U54" s="2" t="s">
        <v>376</v>
      </c>
      <c r="V54" s="2" t="s">
        <v>378</v>
      </c>
      <c r="W54" s="2" t="s">
        <v>378</v>
      </c>
      <c r="X54" s="2" t="s">
        <v>376</v>
      </c>
      <c r="Y54" s="2" t="s">
        <v>376</v>
      </c>
      <c r="Z54" s="2" t="s">
        <v>378</v>
      </c>
      <c r="AA54" s="2" t="s">
        <v>382</v>
      </c>
      <c r="AB54" s="2" t="s">
        <v>490</v>
      </c>
      <c r="AC54" s="2" t="s">
        <v>552</v>
      </c>
      <c r="AD54" s="2" t="s">
        <v>455</v>
      </c>
      <c r="AE54" s="2" t="s">
        <v>33</v>
      </c>
      <c r="AF54" s="2" t="s">
        <v>33</v>
      </c>
      <c r="AG54" s="2" t="s">
        <v>33</v>
      </c>
      <c r="AH54" s="2" t="s">
        <v>33</v>
      </c>
      <c r="AI54" s="2" t="s">
        <v>33</v>
      </c>
      <c r="AJ54" s="2" t="s">
        <v>33</v>
      </c>
      <c r="AK54" s="2" t="s">
        <v>33</v>
      </c>
      <c r="AL54" s="2">
        <v>1.0</v>
      </c>
      <c r="AM54" s="2">
        <v>2.0</v>
      </c>
      <c r="AN54" s="2">
        <v>2.0</v>
      </c>
      <c r="AO54" s="2">
        <v>2.0</v>
      </c>
      <c r="AP54" s="2">
        <v>3.0</v>
      </c>
      <c r="AQ54" s="2">
        <v>4.0</v>
      </c>
      <c r="AR54" s="2">
        <v>2.0</v>
      </c>
      <c r="AS54" s="2">
        <v>3.0</v>
      </c>
      <c r="AT54" s="2">
        <v>2.0</v>
      </c>
      <c r="AU54" s="2">
        <v>2.0</v>
      </c>
      <c r="AV54" s="2">
        <v>3.0</v>
      </c>
      <c r="AW54" s="2">
        <v>3.0</v>
      </c>
      <c r="AX54" s="2">
        <v>3.0</v>
      </c>
      <c r="AY54" s="2">
        <v>3.0</v>
      </c>
      <c r="AZ54" s="2">
        <v>4.0</v>
      </c>
      <c r="BA54" s="2">
        <v>1.0</v>
      </c>
      <c r="BB54" s="2">
        <v>3.0</v>
      </c>
      <c r="BC54" s="2">
        <v>3.0</v>
      </c>
      <c r="BD54" s="2">
        <v>3.0</v>
      </c>
      <c r="BE54" s="2">
        <v>5.0</v>
      </c>
      <c r="BF54" s="2">
        <v>1.0</v>
      </c>
      <c r="BG54" s="2">
        <v>1.0</v>
      </c>
      <c r="BH54" s="2">
        <v>1.0</v>
      </c>
      <c r="BI54" s="2">
        <v>1.0</v>
      </c>
      <c r="BJ54" s="2">
        <v>4.0</v>
      </c>
      <c r="BK54" s="2">
        <v>1.0</v>
      </c>
      <c r="BL54" s="2">
        <v>1.0</v>
      </c>
      <c r="BM54" s="2">
        <v>1.0</v>
      </c>
      <c r="BN54" s="2">
        <v>3.0</v>
      </c>
      <c r="BO54" s="2">
        <v>1.0</v>
      </c>
      <c r="BP54" s="2">
        <v>3.0</v>
      </c>
      <c r="BQ54" s="2" t="s">
        <v>389</v>
      </c>
      <c r="BR54" s="2" t="s">
        <v>390</v>
      </c>
      <c r="BS54" s="2" t="s">
        <v>391</v>
      </c>
      <c r="BT54" s="2" t="s">
        <v>393</v>
      </c>
      <c r="BU54" s="2" t="s">
        <v>396</v>
      </c>
      <c r="BV54" s="2" t="s">
        <v>33</v>
      </c>
      <c r="BW54" s="2" t="s">
        <v>33</v>
      </c>
      <c r="BX54" s="2" t="s">
        <v>33</v>
      </c>
      <c r="BY54" s="2" t="s">
        <v>33</v>
      </c>
      <c r="BZ54" s="2" t="s">
        <v>33</v>
      </c>
      <c r="CA54" s="2" t="s">
        <v>33</v>
      </c>
      <c r="CB54" s="2" t="s">
        <v>33</v>
      </c>
      <c r="CC54" s="2" t="s">
        <v>1872</v>
      </c>
      <c r="CD54" s="2">
        <v>5.0</v>
      </c>
      <c r="CE54" s="2" t="s">
        <v>33</v>
      </c>
      <c r="CF54" s="2" t="s">
        <v>952</v>
      </c>
      <c r="CG54" s="2" t="s">
        <v>33</v>
      </c>
      <c r="CH54" s="2" t="s">
        <v>33</v>
      </c>
      <c r="CI54" s="2" t="s">
        <v>33</v>
      </c>
      <c r="CJ54" s="2" t="s">
        <v>33</v>
      </c>
      <c r="CK54" s="2" t="s">
        <v>1575</v>
      </c>
      <c r="CL54" s="2" t="s">
        <v>466</v>
      </c>
      <c r="CM54" s="4">
        <v>45379.0</v>
      </c>
      <c r="CN54" s="4">
        <v>45384.0</v>
      </c>
      <c r="CO54" s="2">
        <v>6.0</v>
      </c>
      <c r="CP54" s="2" t="s">
        <v>529</v>
      </c>
      <c r="CQ54" s="2" t="s">
        <v>441</v>
      </c>
      <c r="CR54" s="2" t="s">
        <v>479</v>
      </c>
      <c r="CS54" s="2" t="s">
        <v>529</v>
      </c>
      <c r="CT54" s="2" t="s">
        <v>368</v>
      </c>
      <c r="CU54" s="2" t="s">
        <v>762</v>
      </c>
    </row>
    <row r="55" ht="12.75" customHeight="1">
      <c r="A55" s="2">
        <v>54.0</v>
      </c>
      <c r="B55" s="2">
        <v>3.0</v>
      </c>
      <c r="C55" s="2" t="s">
        <v>358</v>
      </c>
      <c r="D55" s="2" t="s">
        <v>359</v>
      </c>
      <c r="E55" s="2" t="s">
        <v>360</v>
      </c>
      <c r="F55" s="2" t="s">
        <v>437</v>
      </c>
      <c r="G55" s="2" t="s">
        <v>437</v>
      </c>
      <c r="H55" s="2" t="s">
        <v>362</v>
      </c>
      <c r="I55" s="2" t="s">
        <v>1878</v>
      </c>
      <c r="J55" s="2" t="s">
        <v>599</v>
      </c>
      <c r="K55" s="2" t="s">
        <v>366</v>
      </c>
      <c r="L55" s="2" t="s">
        <v>599</v>
      </c>
      <c r="M55" s="2" t="s">
        <v>368</v>
      </c>
      <c r="N55" s="2" t="s">
        <v>369</v>
      </c>
      <c r="O55" s="2" t="s">
        <v>442</v>
      </c>
      <c r="P55" s="2" t="s">
        <v>1026</v>
      </c>
      <c r="Q55" s="2" t="s">
        <v>480</v>
      </c>
      <c r="R55" s="2" t="s">
        <v>480</v>
      </c>
      <c r="S55" s="2" t="s">
        <v>444</v>
      </c>
      <c r="T55" s="2" t="s">
        <v>376</v>
      </c>
      <c r="U55" s="2" t="s">
        <v>378</v>
      </c>
      <c r="V55" s="2" t="s">
        <v>378</v>
      </c>
      <c r="W55" s="2" t="s">
        <v>444</v>
      </c>
      <c r="X55" s="2" t="s">
        <v>376</v>
      </c>
      <c r="Y55" s="2" t="s">
        <v>444</v>
      </c>
      <c r="Z55" s="2" t="s">
        <v>444</v>
      </c>
      <c r="AA55" s="2" t="s">
        <v>382</v>
      </c>
      <c r="AB55" s="2" t="s">
        <v>490</v>
      </c>
      <c r="AC55" s="2" t="s">
        <v>806</v>
      </c>
      <c r="AD55" s="2" t="s">
        <v>33</v>
      </c>
      <c r="AE55" s="2" t="s">
        <v>33</v>
      </c>
      <c r="AF55" s="2" t="s">
        <v>33</v>
      </c>
      <c r="AG55" s="2" t="s">
        <v>33</v>
      </c>
      <c r="AH55" s="2" t="s">
        <v>33</v>
      </c>
      <c r="AI55" s="2" t="s">
        <v>33</v>
      </c>
      <c r="AJ55" s="2" t="s">
        <v>33</v>
      </c>
      <c r="AK55" s="2" t="s">
        <v>33</v>
      </c>
      <c r="AL55" s="2">
        <v>3.0</v>
      </c>
      <c r="AM55" s="2">
        <v>5.0</v>
      </c>
      <c r="AN55" s="2">
        <v>1.0</v>
      </c>
      <c r="AO55" s="2">
        <v>5.0</v>
      </c>
      <c r="AP55" s="2">
        <v>5.0</v>
      </c>
      <c r="AQ55" s="2">
        <v>1.0</v>
      </c>
      <c r="AR55" s="2">
        <v>1.0</v>
      </c>
      <c r="AS55" s="2">
        <v>2.0</v>
      </c>
      <c r="AT55" s="2">
        <v>4.0</v>
      </c>
      <c r="AU55" s="2">
        <v>5.0</v>
      </c>
      <c r="AV55" s="2">
        <v>5.0</v>
      </c>
      <c r="AW55" s="2">
        <v>5.0</v>
      </c>
      <c r="AX55" s="2">
        <v>1.0</v>
      </c>
      <c r="AY55" s="2">
        <v>3.0</v>
      </c>
      <c r="AZ55" s="2">
        <v>3.0</v>
      </c>
      <c r="BA55" s="2">
        <v>5.0</v>
      </c>
      <c r="BB55" s="2">
        <v>1.0</v>
      </c>
      <c r="BC55" s="2">
        <v>3.0</v>
      </c>
      <c r="BD55" s="2">
        <v>3.0</v>
      </c>
      <c r="BE55" s="2">
        <v>5.0</v>
      </c>
      <c r="BF55" s="2">
        <v>2.0</v>
      </c>
      <c r="BG55" s="2">
        <v>1.0</v>
      </c>
      <c r="BH55" s="2">
        <v>1.0</v>
      </c>
      <c r="BI55" s="2">
        <v>1.0</v>
      </c>
      <c r="BJ55" s="2">
        <v>1.0</v>
      </c>
      <c r="BK55" s="2">
        <v>1.0</v>
      </c>
      <c r="BL55" s="2">
        <v>1.0</v>
      </c>
      <c r="BM55" s="2">
        <v>1.0</v>
      </c>
      <c r="BN55" s="2">
        <v>5.0</v>
      </c>
      <c r="BO55" s="2">
        <v>1.0</v>
      </c>
      <c r="BP55" s="2">
        <v>1.0</v>
      </c>
      <c r="BQ55" s="2" t="s">
        <v>390</v>
      </c>
      <c r="BR55" s="2" t="s">
        <v>391</v>
      </c>
      <c r="BS55" s="2" t="s">
        <v>392</v>
      </c>
      <c r="BT55" s="2" t="s">
        <v>393</v>
      </c>
      <c r="BU55" s="2" t="s">
        <v>396</v>
      </c>
      <c r="BV55" s="2" t="s">
        <v>573</v>
      </c>
      <c r="BW55" s="2" t="s">
        <v>33</v>
      </c>
      <c r="BX55" s="2" t="s">
        <v>33</v>
      </c>
      <c r="BY55" s="2" t="s">
        <v>33</v>
      </c>
      <c r="BZ55" s="2" t="s">
        <v>33</v>
      </c>
      <c r="CA55" s="2" t="s">
        <v>33</v>
      </c>
      <c r="CB55" s="2" t="s">
        <v>33</v>
      </c>
      <c r="CC55" s="2" t="s">
        <v>1888</v>
      </c>
      <c r="CD55" s="2">
        <v>3.0</v>
      </c>
      <c r="CE55" s="2" t="s">
        <v>1172</v>
      </c>
      <c r="CF55" s="2" t="s">
        <v>1083</v>
      </c>
      <c r="CG55" s="2" t="s">
        <v>33</v>
      </c>
      <c r="CH55" s="2" t="s">
        <v>33</v>
      </c>
      <c r="CI55" s="2" t="s">
        <v>33</v>
      </c>
      <c r="CJ55" s="2" t="s">
        <v>33</v>
      </c>
      <c r="CK55" s="2" t="s">
        <v>1878</v>
      </c>
      <c r="CL55" s="2" t="s">
        <v>466</v>
      </c>
      <c r="CM55" s="2" t="s">
        <v>33</v>
      </c>
      <c r="CN55" s="2" t="s">
        <v>33</v>
      </c>
      <c r="CO55" s="2" t="s">
        <v>33</v>
      </c>
      <c r="CP55" s="2" t="s">
        <v>529</v>
      </c>
      <c r="CQ55" s="2" t="s">
        <v>369</v>
      </c>
      <c r="CR55" s="2" t="s">
        <v>442</v>
      </c>
      <c r="CS55" s="2" t="s">
        <v>529</v>
      </c>
      <c r="CT55" s="2" t="s">
        <v>368</v>
      </c>
      <c r="CU55" s="2" t="s">
        <v>1026</v>
      </c>
    </row>
    <row r="56" ht="12.75" customHeight="1">
      <c r="A56" s="2">
        <v>55.0</v>
      </c>
      <c r="B56" s="2">
        <v>2.0</v>
      </c>
      <c r="C56" s="2" t="s">
        <v>358</v>
      </c>
      <c r="D56" s="2" t="s">
        <v>359</v>
      </c>
      <c r="E56" s="2" t="s">
        <v>360</v>
      </c>
      <c r="F56" s="2" t="s">
        <v>443</v>
      </c>
      <c r="G56" s="2" t="s">
        <v>443</v>
      </c>
      <c r="H56" s="2" t="s">
        <v>540</v>
      </c>
      <c r="I56" s="2" t="s">
        <v>1896</v>
      </c>
      <c r="J56" s="2" t="s">
        <v>1637</v>
      </c>
      <c r="K56" s="2" t="s">
        <v>366</v>
      </c>
      <c r="L56" s="2" t="s">
        <v>440</v>
      </c>
      <c r="M56" s="2" t="s">
        <v>368</v>
      </c>
      <c r="N56" s="2" t="s">
        <v>478</v>
      </c>
      <c r="O56" s="2" t="s">
        <v>370</v>
      </c>
      <c r="P56" s="2" t="s">
        <v>372</v>
      </c>
      <c r="Q56" s="2" t="s">
        <v>361</v>
      </c>
      <c r="R56" s="2" t="s">
        <v>361</v>
      </c>
      <c r="S56" s="2" t="s">
        <v>378</v>
      </c>
      <c r="T56" s="2" t="s">
        <v>378</v>
      </c>
      <c r="U56" s="2" t="s">
        <v>376</v>
      </c>
      <c r="V56" s="2" t="s">
        <v>376</v>
      </c>
      <c r="W56" s="2" t="s">
        <v>444</v>
      </c>
      <c r="X56" s="2" t="s">
        <v>378</v>
      </c>
      <c r="Y56" s="2" t="s">
        <v>376</v>
      </c>
      <c r="Z56" s="2" t="s">
        <v>378</v>
      </c>
      <c r="AA56" s="2" t="s">
        <v>1031</v>
      </c>
      <c r="AB56" s="2" t="s">
        <v>359</v>
      </c>
      <c r="AC56" s="2" t="s">
        <v>450</v>
      </c>
      <c r="AD56" s="2" t="s">
        <v>451</v>
      </c>
      <c r="AE56" s="2" t="s">
        <v>452</v>
      </c>
      <c r="AF56" s="2" t="s">
        <v>386</v>
      </c>
      <c r="AG56" s="2" t="s">
        <v>387</v>
      </c>
      <c r="AH56" s="2" t="s">
        <v>388</v>
      </c>
      <c r="AI56" s="2" t="s">
        <v>454</v>
      </c>
      <c r="AJ56" s="2" t="s">
        <v>455</v>
      </c>
      <c r="AK56" s="2" t="s">
        <v>33</v>
      </c>
      <c r="AL56" s="2">
        <v>3.0</v>
      </c>
      <c r="AM56" s="2">
        <v>1.0</v>
      </c>
      <c r="AN56" s="2">
        <v>2.0</v>
      </c>
      <c r="AO56" s="2">
        <v>5.0</v>
      </c>
      <c r="AP56" s="2">
        <v>5.0</v>
      </c>
      <c r="AQ56" s="2">
        <v>1.0</v>
      </c>
      <c r="AR56" s="2">
        <v>2.0</v>
      </c>
      <c r="AS56" s="2">
        <v>3.0</v>
      </c>
      <c r="AT56" s="2">
        <v>3.0</v>
      </c>
      <c r="AU56" s="2">
        <v>1.0</v>
      </c>
      <c r="AV56" s="2">
        <v>2.0</v>
      </c>
      <c r="AW56" s="2">
        <v>3.0</v>
      </c>
      <c r="AX56" s="2">
        <v>3.0</v>
      </c>
      <c r="AY56" s="2">
        <v>5.0</v>
      </c>
      <c r="AZ56" s="2">
        <v>3.0</v>
      </c>
      <c r="BA56" s="2">
        <v>5.0</v>
      </c>
      <c r="BB56" s="2">
        <v>1.0</v>
      </c>
      <c r="BC56" s="2">
        <v>1.0</v>
      </c>
      <c r="BD56" s="2">
        <v>3.0</v>
      </c>
      <c r="BE56" s="2">
        <v>3.0</v>
      </c>
      <c r="BF56" s="2">
        <v>1.0</v>
      </c>
      <c r="BG56" s="2">
        <v>1.0</v>
      </c>
      <c r="BH56" s="2">
        <v>1.0</v>
      </c>
      <c r="BI56" s="2">
        <v>3.0</v>
      </c>
      <c r="BJ56" s="2">
        <v>2.0</v>
      </c>
      <c r="BK56" s="2">
        <v>1.0</v>
      </c>
      <c r="BL56" s="2">
        <v>3.0</v>
      </c>
      <c r="BM56" s="2">
        <v>1.0</v>
      </c>
      <c r="BN56" s="2">
        <v>3.0</v>
      </c>
      <c r="BO56" s="2">
        <v>2.0</v>
      </c>
      <c r="BP56" s="2">
        <v>1.0</v>
      </c>
      <c r="BQ56" s="2" t="s">
        <v>568</v>
      </c>
      <c r="BR56" s="2" t="s">
        <v>389</v>
      </c>
      <c r="BS56" s="2" t="s">
        <v>390</v>
      </c>
      <c r="BT56" s="2" t="s">
        <v>391</v>
      </c>
      <c r="BU56" s="2" t="s">
        <v>392</v>
      </c>
      <c r="BV56" s="2" t="s">
        <v>393</v>
      </c>
      <c r="BW56" s="2" t="s">
        <v>394</v>
      </c>
      <c r="BX56" s="2" t="s">
        <v>395</v>
      </c>
      <c r="BY56" s="2" t="s">
        <v>519</v>
      </c>
      <c r="BZ56" s="2" t="s">
        <v>396</v>
      </c>
      <c r="CA56" s="2" t="s">
        <v>573</v>
      </c>
      <c r="CB56" s="2" t="s">
        <v>730</v>
      </c>
      <c r="CC56" s="2" t="s">
        <v>1905</v>
      </c>
      <c r="CD56" s="2">
        <v>5.0</v>
      </c>
      <c r="CE56" s="2" t="s">
        <v>794</v>
      </c>
      <c r="CF56" s="2" t="s">
        <v>33</v>
      </c>
      <c r="CG56" s="2" t="s">
        <v>33</v>
      </c>
      <c r="CH56" s="2" t="s">
        <v>33</v>
      </c>
      <c r="CI56" s="2" t="s">
        <v>33</v>
      </c>
      <c r="CJ56" s="2" t="s">
        <v>33</v>
      </c>
      <c r="CK56" s="2" t="s">
        <v>1896</v>
      </c>
      <c r="CL56" s="2" t="s">
        <v>466</v>
      </c>
      <c r="CM56" s="4">
        <v>45380.0</v>
      </c>
      <c r="CN56" s="4">
        <v>45385.0</v>
      </c>
      <c r="CO56" s="2">
        <v>6.0</v>
      </c>
      <c r="CP56" s="2" t="s">
        <v>434</v>
      </c>
      <c r="CQ56" s="2" t="s">
        <v>478</v>
      </c>
      <c r="CR56" s="2" t="s">
        <v>370</v>
      </c>
      <c r="CS56" s="2" t="s">
        <v>434</v>
      </c>
      <c r="CT56" s="2" t="s">
        <v>368</v>
      </c>
      <c r="CU56" s="2" t="s">
        <v>372</v>
      </c>
    </row>
    <row r="57" ht="12.75" customHeight="1">
      <c r="A57" s="2">
        <v>56.0</v>
      </c>
      <c r="B57" s="2">
        <v>2.0</v>
      </c>
      <c r="C57" s="2" t="s">
        <v>358</v>
      </c>
      <c r="D57" s="2" t="s">
        <v>359</v>
      </c>
      <c r="E57" s="2" t="s">
        <v>360</v>
      </c>
      <c r="F57" s="2" t="s">
        <v>437</v>
      </c>
      <c r="G57" s="2" t="s">
        <v>437</v>
      </c>
      <c r="H57" s="2" t="s">
        <v>362</v>
      </c>
      <c r="I57" s="2" t="s">
        <v>1907</v>
      </c>
      <c r="J57" s="2" t="s">
        <v>1908</v>
      </c>
      <c r="K57" s="2" t="s">
        <v>1909</v>
      </c>
      <c r="L57" s="2" t="s">
        <v>984</v>
      </c>
      <c r="M57" s="2" t="s">
        <v>368</v>
      </c>
      <c r="N57" s="2" t="s">
        <v>802</v>
      </c>
      <c r="O57" s="2" t="s">
        <v>442</v>
      </c>
      <c r="P57" s="2" t="s">
        <v>372</v>
      </c>
      <c r="Q57" s="2" t="s">
        <v>480</v>
      </c>
      <c r="R57" s="2" t="s">
        <v>480</v>
      </c>
      <c r="S57" s="2" t="s">
        <v>376</v>
      </c>
      <c r="T57" s="2" t="s">
        <v>376</v>
      </c>
      <c r="U57" s="2" t="s">
        <v>376</v>
      </c>
      <c r="V57" s="2" t="s">
        <v>376</v>
      </c>
      <c r="W57" s="2" t="s">
        <v>444</v>
      </c>
      <c r="X57" s="2" t="s">
        <v>444</v>
      </c>
      <c r="Y57" s="2" t="s">
        <v>376</v>
      </c>
      <c r="Z57" s="2" t="s">
        <v>444</v>
      </c>
      <c r="AA57" s="2" t="s">
        <v>382</v>
      </c>
      <c r="AB57" s="2" t="s">
        <v>490</v>
      </c>
      <c r="AC57" s="2" t="s">
        <v>1094</v>
      </c>
      <c r="AD57" s="2" t="s">
        <v>388</v>
      </c>
      <c r="AE57" s="2" t="s">
        <v>33</v>
      </c>
      <c r="AF57" s="2" t="s">
        <v>33</v>
      </c>
      <c r="AG57" s="2" t="s">
        <v>33</v>
      </c>
      <c r="AH57" s="2" t="s">
        <v>33</v>
      </c>
      <c r="AI57" s="2" t="s">
        <v>33</v>
      </c>
      <c r="AJ57" s="2" t="s">
        <v>33</v>
      </c>
      <c r="AK57" s="2" t="s">
        <v>33</v>
      </c>
      <c r="AL57" s="2">
        <v>3.0</v>
      </c>
      <c r="AM57" s="2">
        <v>5.0</v>
      </c>
      <c r="AN57" s="2">
        <v>1.0</v>
      </c>
      <c r="AO57" s="2">
        <v>3.0</v>
      </c>
      <c r="AP57" s="2">
        <v>2.0</v>
      </c>
      <c r="AQ57" s="2">
        <v>1.0</v>
      </c>
      <c r="AR57" s="2">
        <v>4.0</v>
      </c>
      <c r="AS57" s="2">
        <v>4.0</v>
      </c>
      <c r="AT57" s="2">
        <v>3.0</v>
      </c>
      <c r="AU57" s="2">
        <v>3.0</v>
      </c>
      <c r="AV57" s="2">
        <v>4.0</v>
      </c>
      <c r="AW57" s="2">
        <v>3.0</v>
      </c>
      <c r="AX57" s="2">
        <v>1.0</v>
      </c>
      <c r="AY57" s="2">
        <v>3.0</v>
      </c>
      <c r="AZ57" s="2">
        <v>1.0</v>
      </c>
      <c r="BA57" s="2">
        <v>4.0</v>
      </c>
      <c r="BB57" s="2">
        <v>1.0</v>
      </c>
      <c r="BC57" s="2">
        <v>1.0</v>
      </c>
      <c r="BD57" s="2">
        <v>2.0</v>
      </c>
      <c r="BE57" s="2">
        <v>5.0</v>
      </c>
      <c r="BF57" s="2">
        <v>1.0</v>
      </c>
      <c r="BG57" s="2">
        <v>1.0</v>
      </c>
      <c r="BH57" s="2">
        <v>1.0</v>
      </c>
      <c r="BI57" s="2">
        <v>2.0</v>
      </c>
      <c r="BJ57" s="2">
        <v>1.0</v>
      </c>
      <c r="BK57" s="2">
        <v>1.0</v>
      </c>
      <c r="BL57" s="2">
        <v>1.0</v>
      </c>
      <c r="BM57" s="2">
        <v>1.0</v>
      </c>
      <c r="BN57" s="2">
        <v>3.0</v>
      </c>
      <c r="BO57" s="2">
        <v>1.0</v>
      </c>
      <c r="BP57" s="2">
        <v>1.0</v>
      </c>
      <c r="BQ57" s="2" t="s">
        <v>568</v>
      </c>
      <c r="BR57" s="2" t="s">
        <v>390</v>
      </c>
      <c r="BS57" s="2" t="s">
        <v>391</v>
      </c>
      <c r="BT57" s="2" t="s">
        <v>392</v>
      </c>
      <c r="BU57" s="2" t="s">
        <v>393</v>
      </c>
      <c r="BV57" s="2" t="s">
        <v>396</v>
      </c>
      <c r="BW57" s="2" t="s">
        <v>33</v>
      </c>
      <c r="BX57" s="2" t="s">
        <v>33</v>
      </c>
      <c r="BY57" s="2" t="s">
        <v>33</v>
      </c>
      <c r="BZ57" s="2" t="s">
        <v>33</v>
      </c>
      <c r="CA57" s="2" t="s">
        <v>33</v>
      </c>
      <c r="CB57" s="2" t="s">
        <v>33</v>
      </c>
      <c r="CC57" s="2" t="s">
        <v>1914</v>
      </c>
      <c r="CD57" s="2">
        <v>4.0</v>
      </c>
      <c r="CE57" s="2" t="s">
        <v>899</v>
      </c>
      <c r="CF57" s="2" t="s">
        <v>33</v>
      </c>
      <c r="CG57" s="2" t="s">
        <v>33</v>
      </c>
      <c r="CH57" s="2" t="s">
        <v>33</v>
      </c>
      <c r="CI57" s="2" t="s">
        <v>33</v>
      </c>
      <c r="CJ57" s="2" t="s">
        <v>33</v>
      </c>
      <c r="CK57" s="2" t="s">
        <v>1907</v>
      </c>
      <c r="CL57" s="2" t="s">
        <v>466</v>
      </c>
      <c r="CM57" s="4">
        <v>45374.0</v>
      </c>
      <c r="CN57" s="4">
        <v>45379.0</v>
      </c>
      <c r="CO57" s="2">
        <v>6.0</v>
      </c>
      <c r="CP57" s="2" t="s">
        <v>529</v>
      </c>
      <c r="CQ57" s="2" t="s">
        <v>802</v>
      </c>
      <c r="CR57" s="2" t="s">
        <v>442</v>
      </c>
      <c r="CS57" s="2" t="s">
        <v>529</v>
      </c>
      <c r="CT57" s="2" t="s">
        <v>368</v>
      </c>
      <c r="CU57" s="2" t="s">
        <v>372</v>
      </c>
    </row>
    <row r="58" ht="12.75" customHeight="1">
      <c r="A58" s="2">
        <v>57.0</v>
      </c>
      <c r="B58" s="2">
        <v>2.0</v>
      </c>
      <c r="C58" s="2" t="s">
        <v>358</v>
      </c>
      <c r="D58" s="2" t="s">
        <v>359</v>
      </c>
      <c r="E58" s="2" t="s">
        <v>473</v>
      </c>
      <c r="F58" s="2" t="s">
        <v>443</v>
      </c>
      <c r="G58" s="2" t="s">
        <v>443</v>
      </c>
      <c r="H58" s="2" t="s">
        <v>540</v>
      </c>
      <c r="I58" s="2" t="s">
        <v>859</v>
      </c>
      <c r="J58" s="2" t="s">
        <v>599</v>
      </c>
      <c r="K58" s="2" t="s">
        <v>366</v>
      </c>
      <c r="L58" s="2" t="s">
        <v>599</v>
      </c>
      <c r="M58" s="2" t="s">
        <v>368</v>
      </c>
      <c r="N58" s="2" t="s">
        <v>441</v>
      </c>
      <c r="O58" s="2" t="s">
        <v>479</v>
      </c>
      <c r="P58" s="2" t="s">
        <v>762</v>
      </c>
      <c r="Q58" s="2" t="s">
        <v>443</v>
      </c>
      <c r="R58" s="2" t="s">
        <v>443</v>
      </c>
      <c r="S58" s="2" t="s">
        <v>378</v>
      </c>
      <c r="T58" s="2" t="s">
        <v>444</v>
      </c>
      <c r="U58" s="2" t="s">
        <v>376</v>
      </c>
      <c r="V58" s="2" t="s">
        <v>376</v>
      </c>
      <c r="W58" s="2" t="s">
        <v>444</v>
      </c>
      <c r="X58" s="2" t="s">
        <v>444</v>
      </c>
      <c r="Y58" s="2" t="s">
        <v>444</v>
      </c>
      <c r="Z58" s="2" t="s">
        <v>444</v>
      </c>
      <c r="AA58" s="2" t="s">
        <v>986</v>
      </c>
      <c r="AB58" s="2" t="s">
        <v>551</v>
      </c>
      <c r="AC58" s="2" t="s">
        <v>806</v>
      </c>
      <c r="AD58" s="2" t="s">
        <v>782</v>
      </c>
      <c r="AE58" s="2" t="s">
        <v>455</v>
      </c>
      <c r="AF58" s="2" t="s">
        <v>33</v>
      </c>
      <c r="AG58" s="2" t="s">
        <v>33</v>
      </c>
      <c r="AH58" s="2" t="s">
        <v>33</v>
      </c>
      <c r="AI58" s="2" t="s">
        <v>33</v>
      </c>
      <c r="AJ58" s="2" t="s">
        <v>33</v>
      </c>
      <c r="AK58" s="2" t="s">
        <v>33</v>
      </c>
      <c r="AL58" s="2">
        <v>2.0</v>
      </c>
      <c r="AM58" s="2">
        <v>3.0</v>
      </c>
      <c r="AN58" s="2">
        <v>2.0</v>
      </c>
      <c r="AO58" s="2">
        <v>1.0</v>
      </c>
      <c r="AP58" s="2">
        <v>2.0</v>
      </c>
      <c r="AQ58" s="2">
        <v>1.0</v>
      </c>
      <c r="AR58" s="2">
        <v>1.0</v>
      </c>
      <c r="AS58" s="2">
        <v>1.0</v>
      </c>
      <c r="AT58" s="2">
        <v>1.0</v>
      </c>
      <c r="AU58" s="2">
        <v>2.0</v>
      </c>
      <c r="AV58" s="2">
        <v>4.0</v>
      </c>
      <c r="AW58" s="2">
        <v>4.0</v>
      </c>
      <c r="AX58" s="2">
        <v>2.0</v>
      </c>
      <c r="AY58" s="2">
        <v>1.0</v>
      </c>
      <c r="AZ58" s="2">
        <v>3.0</v>
      </c>
      <c r="BA58" s="2">
        <v>2.0</v>
      </c>
      <c r="BB58" s="2">
        <v>2.0</v>
      </c>
      <c r="BC58" s="2">
        <v>1.0</v>
      </c>
      <c r="BD58" s="2">
        <v>2.0</v>
      </c>
      <c r="BE58" s="2">
        <v>3.0</v>
      </c>
      <c r="BF58" s="2">
        <v>1.0</v>
      </c>
      <c r="BG58" s="2">
        <v>2.0</v>
      </c>
      <c r="BH58" s="2">
        <v>1.0</v>
      </c>
      <c r="BI58" s="2">
        <v>1.0</v>
      </c>
      <c r="BJ58" s="2">
        <v>1.0</v>
      </c>
      <c r="BK58" s="2">
        <v>1.0</v>
      </c>
      <c r="BL58" s="2">
        <v>2.0</v>
      </c>
      <c r="BM58" s="2">
        <v>1.0</v>
      </c>
      <c r="BN58" s="2">
        <v>3.0</v>
      </c>
      <c r="BO58" s="2">
        <v>1.0</v>
      </c>
      <c r="BP58" s="2">
        <v>1.0</v>
      </c>
      <c r="BQ58" s="2" t="s">
        <v>389</v>
      </c>
      <c r="BR58" s="2" t="s">
        <v>390</v>
      </c>
      <c r="BS58" s="2" t="s">
        <v>391</v>
      </c>
      <c r="BT58" s="2" t="s">
        <v>392</v>
      </c>
      <c r="BU58" s="2" t="s">
        <v>393</v>
      </c>
      <c r="BV58" s="2" t="s">
        <v>396</v>
      </c>
      <c r="BW58" s="2" t="s">
        <v>730</v>
      </c>
      <c r="BX58" s="2" t="s">
        <v>33</v>
      </c>
      <c r="BY58" s="2" t="s">
        <v>33</v>
      </c>
      <c r="BZ58" s="2" t="s">
        <v>33</v>
      </c>
      <c r="CA58" s="2" t="s">
        <v>33</v>
      </c>
      <c r="CB58" s="2" t="s">
        <v>33</v>
      </c>
      <c r="CC58" s="2" t="s">
        <v>1920</v>
      </c>
      <c r="CD58" s="2">
        <v>6.0</v>
      </c>
      <c r="CE58" s="2" t="s">
        <v>794</v>
      </c>
      <c r="CF58" s="2" t="s">
        <v>899</v>
      </c>
      <c r="CG58" s="2" t="s">
        <v>1083</v>
      </c>
      <c r="CH58" s="2" t="s">
        <v>998</v>
      </c>
      <c r="CI58" s="2" t="s">
        <v>999</v>
      </c>
      <c r="CJ58" s="2" t="s">
        <v>33</v>
      </c>
      <c r="CK58" s="2" t="s">
        <v>859</v>
      </c>
      <c r="CL58" s="2" t="s">
        <v>466</v>
      </c>
      <c r="CM58" s="4">
        <v>45381.0</v>
      </c>
      <c r="CN58" s="4">
        <v>45389.0</v>
      </c>
      <c r="CO58" s="2">
        <v>9.0</v>
      </c>
      <c r="CP58" s="2" t="s">
        <v>434</v>
      </c>
      <c r="CQ58" s="2" t="s">
        <v>441</v>
      </c>
      <c r="CR58" s="2" t="s">
        <v>479</v>
      </c>
      <c r="CS58" s="2" t="s">
        <v>434</v>
      </c>
      <c r="CT58" s="2" t="s">
        <v>368</v>
      </c>
      <c r="CU58" s="2" t="s">
        <v>762</v>
      </c>
    </row>
    <row r="59" ht="12.75" customHeight="1">
      <c r="A59" s="2">
        <v>58.0</v>
      </c>
      <c r="B59" s="2">
        <v>1.0</v>
      </c>
      <c r="C59" s="2" t="s">
        <v>358</v>
      </c>
      <c r="D59" s="2" t="s">
        <v>359</v>
      </c>
      <c r="E59" s="2" t="s">
        <v>978</v>
      </c>
      <c r="F59" s="2" t="s">
        <v>437</v>
      </c>
      <c r="G59" s="2" t="s">
        <v>437</v>
      </c>
      <c r="H59" s="2" t="s">
        <v>362</v>
      </c>
      <c r="I59" s="2" t="s">
        <v>1921</v>
      </c>
      <c r="J59" s="2" t="s">
        <v>1921</v>
      </c>
      <c r="K59" s="2" t="s">
        <v>1921</v>
      </c>
      <c r="L59" s="2" t="s">
        <v>984</v>
      </c>
      <c r="M59" s="2" t="s">
        <v>368</v>
      </c>
      <c r="N59" s="2" t="s">
        <v>441</v>
      </c>
      <c r="O59" s="2" t="s">
        <v>442</v>
      </c>
      <c r="P59" s="2" t="s">
        <v>860</v>
      </c>
      <c r="Q59" s="2" t="s">
        <v>480</v>
      </c>
      <c r="R59" s="2" t="s">
        <v>480</v>
      </c>
      <c r="S59" s="2" t="s">
        <v>378</v>
      </c>
      <c r="T59" s="2" t="s">
        <v>444</v>
      </c>
      <c r="U59" s="2" t="s">
        <v>444</v>
      </c>
      <c r="V59" s="2" t="s">
        <v>444</v>
      </c>
      <c r="W59" s="2" t="s">
        <v>444</v>
      </c>
      <c r="X59" s="2" t="s">
        <v>378</v>
      </c>
      <c r="Y59" s="2" t="s">
        <v>378</v>
      </c>
      <c r="Z59" s="2" t="s">
        <v>378</v>
      </c>
      <c r="AA59" s="2" t="s">
        <v>1031</v>
      </c>
      <c r="AB59" s="2" t="s">
        <v>551</v>
      </c>
      <c r="AC59" s="2" t="s">
        <v>385</v>
      </c>
      <c r="AD59" s="2" t="s">
        <v>386</v>
      </c>
      <c r="AE59" s="2" t="s">
        <v>387</v>
      </c>
      <c r="AF59" s="2" t="s">
        <v>388</v>
      </c>
      <c r="AG59" s="2" t="s">
        <v>455</v>
      </c>
      <c r="AH59" s="2" t="s">
        <v>33</v>
      </c>
      <c r="AI59" s="2" t="s">
        <v>33</v>
      </c>
      <c r="AJ59" s="2" t="s">
        <v>33</v>
      </c>
      <c r="AK59" s="2" t="s">
        <v>33</v>
      </c>
      <c r="AL59" s="2">
        <v>2.0</v>
      </c>
      <c r="AM59" s="2">
        <v>5.0</v>
      </c>
      <c r="AN59" s="2">
        <v>2.0</v>
      </c>
      <c r="AO59" s="2">
        <v>4.0</v>
      </c>
      <c r="AP59" s="2">
        <v>2.0</v>
      </c>
      <c r="AQ59" s="2">
        <v>2.0</v>
      </c>
      <c r="AR59" s="2">
        <v>3.0</v>
      </c>
      <c r="AS59" s="2">
        <v>3.0</v>
      </c>
      <c r="AT59" s="2">
        <v>2.0</v>
      </c>
      <c r="AU59" s="2">
        <v>4.0</v>
      </c>
      <c r="AV59" s="2">
        <v>5.0</v>
      </c>
      <c r="AW59" s="2">
        <v>4.0</v>
      </c>
      <c r="AX59" s="2">
        <v>1.0</v>
      </c>
      <c r="AY59" s="2">
        <v>2.0</v>
      </c>
      <c r="AZ59" s="2">
        <v>2.0</v>
      </c>
      <c r="BA59" s="2">
        <v>5.0</v>
      </c>
      <c r="BB59" s="2">
        <v>4.0</v>
      </c>
      <c r="BC59" s="2">
        <v>2.0</v>
      </c>
      <c r="BD59" s="2">
        <v>2.0</v>
      </c>
      <c r="BE59" s="2">
        <v>3.0</v>
      </c>
      <c r="BF59" s="2">
        <v>3.0</v>
      </c>
      <c r="BG59" s="2">
        <v>2.0</v>
      </c>
      <c r="BH59" s="2">
        <v>4.0</v>
      </c>
      <c r="BI59" s="2">
        <v>2.0</v>
      </c>
      <c r="BJ59" s="2">
        <v>3.0</v>
      </c>
      <c r="BK59" s="2">
        <v>3.0</v>
      </c>
      <c r="BL59" s="2">
        <v>2.0</v>
      </c>
      <c r="BM59" s="2">
        <v>1.0</v>
      </c>
      <c r="BN59" s="2">
        <v>3.0</v>
      </c>
      <c r="BO59" s="2">
        <v>1.0</v>
      </c>
      <c r="BP59" s="2">
        <v>5.0</v>
      </c>
      <c r="BQ59" s="2" t="s">
        <v>568</v>
      </c>
      <c r="BR59" s="2" t="s">
        <v>390</v>
      </c>
      <c r="BS59" s="2" t="s">
        <v>392</v>
      </c>
      <c r="BT59" s="2" t="s">
        <v>393</v>
      </c>
      <c r="BU59" s="2" t="s">
        <v>394</v>
      </c>
      <c r="BV59" s="2" t="s">
        <v>396</v>
      </c>
      <c r="BW59" s="2" t="s">
        <v>33</v>
      </c>
      <c r="BX59" s="2" t="s">
        <v>33</v>
      </c>
      <c r="BY59" s="2" t="s">
        <v>33</v>
      </c>
      <c r="BZ59" s="2" t="s">
        <v>33</v>
      </c>
      <c r="CA59" s="2" t="s">
        <v>33</v>
      </c>
      <c r="CB59" s="2" t="s">
        <v>33</v>
      </c>
      <c r="CC59" s="3" t="s">
        <v>1922</v>
      </c>
      <c r="CD59" s="2">
        <v>5.0</v>
      </c>
      <c r="CE59" s="2" t="s">
        <v>794</v>
      </c>
      <c r="CF59" s="2" t="s">
        <v>952</v>
      </c>
      <c r="CG59" s="2" t="s">
        <v>998</v>
      </c>
      <c r="CH59" s="2" t="s">
        <v>999</v>
      </c>
      <c r="CI59" s="2" t="s">
        <v>33</v>
      </c>
      <c r="CJ59" s="2" t="s">
        <v>33</v>
      </c>
      <c r="CK59" s="2" t="s">
        <v>1921</v>
      </c>
      <c r="CL59" s="2" t="s">
        <v>466</v>
      </c>
      <c r="CM59" s="2" t="s">
        <v>33</v>
      </c>
      <c r="CN59" s="2" t="s">
        <v>33</v>
      </c>
      <c r="CO59" s="2" t="s">
        <v>33</v>
      </c>
      <c r="CP59" s="2" t="s">
        <v>529</v>
      </c>
      <c r="CQ59" s="2" t="s">
        <v>441</v>
      </c>
      <c r="CR59" s="2" t="s">
        <v>442</v>
      </c>
      <c r="CS59" s="2" t="s">
        <v>529</v>
      </c>
      <c r="CT59" s="2" t="s">
        <v>368</v>
      </c>
      <c r="CU59" s="2" t="s">
        <v>860</v>
      </c>
    </row>
    <row r="60" ht="12.75" customHeight="1">
      <c r="A60" s="2">
        <v>59.0</v>
      </c>
      <c r="B60" s="2">
        <v>7.0</v>
      </c>
      <c r="C60" s="2" t="s">
        <v>358</v>
      </c>
      <c r="D60" s="2" t="s">
        <v>639</v>
      </c>
      <c r="E60" s="2" t="s">
        <v>360</v>
      </c>
      <c r="F60" s="2" t="s">
        <v>361</v>
      </c>
      <c r="G60" s="2" t="s">
        <v>361</v>
      </c>
      <c r="H60" s="2" t="s">
        <v>540</v>
      </c>
      <c r="I60" s="2" t="s">
        <v>1608</v>
      </c>
      <c r="J60" s="2" t="s">
        <v>438</v>
      </c>
      <c r="K60" s="2" t="s">
        <v>366</v>
      </c>
      <c r="L60" s="2" t="s">
        <v>440</v>
      </c>
      <c r="M60" s="2" t="s">
        <v>368</v>
      </c>
      <c r="N60" s="2" t="s">
        <v>441</v>
      </c>
      <c r="O60" s="2" t="s">
        <v>370</v>
      </c>
      <c r="P60" s="2" t="s">
        <v>372</v>
      </c>
      <c r="Q60" s="2" t="s">
        <v>361</v>
      </c>
      <c r="R60" s="2" t="s">
        <v>361</v>
      </c>
      <c r="S60" s="2" t="s">
        <v>378</v>
      </c>
      <c r="T60" s="2" t="s">
        <v>376</v>
      </c>
      <c r="U60" s="2" t="s">
        <v>376</v>
      </c>
      <c r="V60" s="2" t="s">
        <v>376</v>
      </c>
      <c r="W60" s="2" t="s">
        <v>444</v>
      </c>
      <c r="X60" s="2" t="s">
        <v>378</v>
      </c>
      <c r="Y60" s="2" t="s">
        <v>376</v>
      </c>
      <c r="Z60" s="2" t="s">
        <v>378</v>
      </c>
      <c r="AA60" s="2" t="s">
        <v>986</v>
      </c>
      <c r="AB60" s="2" t="s">
        <v>1112</v>
      </c>
      <c r="AC60" s="2" t="s">
        <v>653</v>
      </c>
      <c r="AD60" s="2" t="s">
        <v>33</v>
      </c>
      <c r="AE60" s="2" t="s">
        <v>33</v>
      </c>
      <c r="AF60" s="2" t="s">
        <v>33</v>
      </c>
      <c r="AG60" s="2" t="s">
        <v>33</v>
      </c>
      <c r="AH60" s="2" t="s">
        <v>33</v>
      </c>
      <c r="AI60" s="2" t="s">
        <v>33</v>
      </c>
      <c r="AJ60" s="2" t="s">
        <v>33</v>
      </c>
      <c r="AK60" s="2" t="s">
        <v>33</v>
      </c>
      <c r="AL60" s="2">
        <v>4.0</v>
      </c>
      <c r="AM60" s="2">
        <v>4.0</v>
      </c>
      <c r="AN60" s="2">
        <v>1.0</v>
      </c>
      <c r="AO60" s="2">
        <v>2.0</v>
      </c>
      <c r="AP60" s="2">
        <v>3.0</v>
      </c>
      <c r="AQ60" s="2">
        <v>2.0</v>
      </c>
      <c r="AR60" s="2">
        <v>4.0</v>
      </c>
      <c r="AS60" s="2">
        <v>3.0</v>
      </c>
      <c r="AT60" s="2">
        <v>3.0</v>
      </c>
      <c r="AU60" s="2">
        <v>1.0</v>
      </c>
      <c r="AV60" s="2">
        <v>1.0</v>
      </c>
      <c r="AW60" s="2">
        <v>1.0</v>
      </c>
      <c r="AX60" s="2">
        <v>1.0</v>
      </c>
      <c r="AY60" s="2">
        <v>3.0</v>
      </c>
      <c r="AZ60" s="2">
        <v>1.0</v>
      </c>
      <c r="BA60" s="2">
        <v>1.0</v>
      </c>
      <c r="BB60" s="2">
        <v>2.0</v>
      </c>
      <c r="BC60" s="2">
        <v>2.0</v>
      </c>
      <c r="BD60" s="2">
        <v>3.0</v>
      </c>
      <c r="BE60" s="2">
        <v>5.0</v>
      </c>
      <c r="BF60" s="2">
        <v>1.0</v>
      </c>
      <c r="BG60" s="2">
        <v>1.0</v>
      </c>
      <c r="BH60" s="2">
        <v>1.0</v>
      </c>
      <c r="BI60" s="2">
        <v>1.0</v>
      </c>
      <c r="BJ60" s="2">
        <v>1.0</v>
      </c>
      <c r="BK60" s="2">
        <v>1.0</v>
      </c>
      <c r="BL60" s="2">
        <v>2.0</v>
      </c>
      <c r="BM60" s="2">
        <v>1.0</v>
      </c>
      <c r="BN60" s="2">
        <v>2.0</v>
      </c>
      <c r="BO60" s="2">
        <v>1.0</v>
      </c>
      <c r="BP60" s="2">
        <v>1.0</v>
      </c>
      <c r="BQ60" s="2" t="s">
        <v>568</v>
      </c>
      <c r="BR60" s="2" t="s">
        <v>389</v>
      </c>
      <c r="BS60" s="2" t="s">
        <v>390</v>
      </c>
      <c r="BT60" s="2" t="s">
        <v>391</v>
      </c>
      <c r="BU60" s="2" t="s">
        <v>392</v>
      </c>
      <c r="BV60" s="2" t="s">
        <v>393</v>
      </c>
      <c r="BW60" s="2" t="s">
        <v>394</v>
      </c>
      <c r="BX60" s="2" t="s">
        <v>395</v>
      </c>
      <c r="BY60" s="2" t="s">
        <v>519</v>
      </c>
      <c r="BZ60" s="2" t="s">
        <v>396</v>
      </c>
      <c r="CA60" s="2" t="s">
        <v>573</v>
      </c>
      <c r="CB60" s="2" t="s">
        <v>730</v>
      </c>
      <c r="CC60" s="2" t="s">
        <v>1923</v>
      </c>
      <c r="CD60" s="2">
        <v>5.0</v>
      </c>
      <c r="CE60" s="2" t="s">
        <v>794</v>
      </c>
      <c r="CF60" s="2" t="s">
        <v>33</v>
      </c>
      <c r="CG60" s="2" t="s">
        <v>33</v>
      </c>
      <c r="CH60" s="2" t="s">
        <v>33</v>
      </c>
      <c r="CI60" s="2" t="s">
        <v>33</v>
      </c>
      <c r="CJ60" s="2" t="s">
        <v>33</v>
      </c>
      <c r="CK60" s="2" t="s">
        <v>1608</v>
      </c>
      <c r="CL60" s="2" t="s">
        <v>466</v>
      </c>
      <c r="CM60" s="4">
        <v>45380.0</v>
      </c>
      <c r="CN60" s="4">
        <v>45384.0</v>
      </c>
      <c r="CO60" s="2">
        <v>5.0</v>
      </c>
      <c r="CP60" s="2" t="s">
        <v>434</v>
      </c>
      <c r="CQ60" s="2" t="s">
        <v>441</v>
      </c>
      <c r="CR60" s="2" t="s">
        <v>370</v>
      </c>
      <c r="CS60" s="2" t="s">
        <v>434</v>
      </c>
      <c r="CT60" s="2" t="s">
        <v>368</v>
      </c>
      <c r="CU60" s="2" t="s">
        <v>372</v>
      </c>
    </row>
    <row r="61" ht="12.75" customHeight="1">
      <c r="A61" s="2">
        <v>60.0</v>
      </c>
      <c r="B61" s="2">
        <v>3.0</v>
      </c>
      <c r="C61" s="2" t="s">
        <v>358</v>
      </c>
      <c r="D61" s="2" t="s">
        <v>359</v>
      </c>
      <c r="E61" s="2" t="s">
        <v>473</v>
      </c>
      <c r="F61" s="2" t="s">
        <v>437</v>
      </c>
      <c r="G61" s="2" t="s">
        <v>437</v>
      </c>
      <c r="H61" s="2" t="s">
        <v>540</v>
      </c>
      <c r="I61" s="2" t="s">
        <v>859</v>
      </c>
      <c r="J61" s="2" t="s">
        <v>599</v>
      </c>
      <c r="K61" s="2" t="s">
        <v>366</v>
      </c>
      <c r="L61" s="2" t="s">
        <v>599</v>
      </c>
      <c r="M61" s="2" t="s">
        <v>368</v>
      </c>
      <c r="N61" s="2" t="s">
        <v>1025</v>
      </c>
      <c r="O61" s="2" t="s">
        <v>370</v>
      </c>
      <c r="P61" s="2" t="s">
        <v>762</v>
      </c>
      <c r="Q61" s="2" t="s">
        <v>480</v>
      </c>
      <c r="R61" s="2" t="s">
        <v>480</v>
      </c>
      <c r="S61" s="2" t="s">
        <v>378</v>
      </c>
      <c r="T61" s="2" t="s">
        <v>378</v>
      </c>
      <c r="U61" s="2" t="s">
        <v>378</v>
      </c>
      <c r="V61" s="2" t="s">
        <v>378</v>
      </c>
      <c r="W61" s="2" t="s">
        <v>444</v>
      </c>
      <c r="X61" s="2" t="s">
        <v>444</v>
      </c>
      <c r="Y61" s="2" t="s">
        <v>444</v>
      </c>
      <c r="Z61" s="2" t="s">
        <v>444</v>
      </c>
      <c r="AA61" s="2" t="s">
        <v>382</v>
      </c>
      <c r="AB61" s="2" t="s">
        <v>490</v>
      </c>
      <c r="AC61" s="2" t="s">
        <v>1141</v>
      </c>
      <c r="AD61" s="2" t="s">
        <v>387</v>
      </c>
      <c r="AE61" s="2" t="s">
        <v>388</v>
      </c>
      <c r="AF61" s="2" t="s">
        <v>782</v>
      </c>
      <c r="AG61" s="2" t="s">
        <v>454</v>
      </c>
      <c r="AH61" s="2" t="s">
        <v>455</v>
      </c>
      <c r="AI61" s="2" t="s">
        <v>33</v>
      </c>
      <c r="AJ61" s="2" t="s">
        <v>33</v>
      </c>
      <c r="AK61" s="2" t="s">
        <v>33</v>
      </c>
      <c r="AL61" s="2">
        <v>2.0</v>
      </c>
      <c r="AM61" s="2">
        <v>3.0</v>
      </c>
      <c r="AN61" s="2">
        <v>2.0</v>
      </c>
      <c r="AO61" s="2">
        <v>1.0</v>
      </c>
      <c r="AP61" s="2">
        <v>2.0</v>
      </c>
      <c r="AQ61" s="2">
        <v>1.0</v>
      </c>
      <c r="AR61" s="2">
        <v>3.0</v>
      </c>
      <c r="AS61" s="2">
        <v>3.0</v>
      </c>
      <c r="AT61" s="2">
        <v>4.0</v>
      </c>
      <c r="AU61" s="2">
        <v>2.0</v>
      </c>
      <c r="AV61" s="2">
        <v>4.0</v>
      </c>
      <c r="AW61" s="2">
        <v>4.0</v>
      </c>
      <c r="AX61" s="2">
        <v>1.0</v>
      </c>
      <c r="AY61" s="2">
        <v>2.0</v>
      </c>
      <c r="AZ61" s="2">
        <v>3.0</v>
      </c>
      <c r="BA61" s="2">
        <v>4.0</v>
      </c>
      <c r="BB61" s="2">
        <v>4.0</v>
      </c>
      <c r="BC61" s="2">
        <v>3.0</v>
      </c>
      <c r="BD61" s="2">
        <v>4.0</v>
      </c>
      <c r="BE61" s="2">
        <v>4.0</v>
      </c>
      <c r="BF61" s="2">
        <v>2.0</v>
      </c>
      <c r="BG61" s="2">
        <v>1.0</v>
      </c>
      <c r="BH61" s="2">
        <v>1.0</v>
      </c>
      <c r="BI61" s="2">
        <v>1.0</v>
      </c>
      <c r="BJ61" s="2">
        <v>1.0</v>
      </c>
      <c r="BK61" s="2">
        <v>1.0</v>
      </c>
      <c r="BL61" s="2">
        <v>1.0</v>
      </c>
      <c r="BM61" s="2">
        <v>1.0</v>
      </c>
      <c r="BN61" s="2">
        <v>2.0</v>
      </c>
      <c r="BO61" s="2">
        <v>1.0</v>
      </c>
      <c r="BP61" s="2">
        <v>1.0</v>
      </c>
      <c r="BQ61" s="2" t="s">
        <v>390</v>
      </c>
      <c r="BR61" s="2" t="s">
        <v>393</v>
      </c>
      <c r="BS61" s="2" t="s">
        <v>396</v>
      </c>
      <c r="BT61" s="2" t="s">
        <v>33</v>
      </c>
      <c r="BU61" s="2" t="s">
        <v>33</v>
      </c>
      <c r="BV61" s="2" t="s">
        <v>33</v>
      </c>
      <c r="BW61" s="2" t="s">
        <v>33</v>
      </c>
      <c r="BX61" s="2" t="s">
        <v>33</v>
      </c>
      <c r="BY61" s="2" t="s">
        <v>33</v>
      </c>
      <c r="BZ61" s="2" t="s">
        <v>33</v>
      </c>
      <c r="CA61" s="2" t="s">
        <v>33</v>
      </c>
      <c r="CB61" s="2" t="s">
        <v>33</v>
      </c>
      <c r="CC61" s="2" t="s">
        <v>1924</v>
      </c>
      <c r="CD61" s="2">
        <v>4.0</v>
      </c>
      <c r="CE61" s="2" t="s">
        <v>33</v>
      </c>
      <c r="CF61" s="2" t="s">
        <v>998</v>
      </c>
      <c r="CG61" s="2" t="s">
        <v>33</v>
      </c>
      <c r="CH61" s="2" t="s">
        <v>33</v>
      </c>
      <c r="CI61" s="2" t="s">
        <v>33</v>
      </c>
      <c r="CJ61" s="2" t="s">
        <v>33</v>
      </c>
      <c r="CK61" s="2" t="s">
        <v>859</v>
      </c>
      <c r="CL61" s="2" t="s">
        <v>466</v>
      </c>
      <c r="CM61" s="4">
        <v>45376.0</v>
      </c>
      <c r="CN61" s="4">
        <v>45380.0</v>
      </c>
      <c r="CO61" s="2">
        <v>5.0</v>
      </c>
      <c r="CP61" s="2" t="s">
        <v>529</v>
      </c>
      <c r="CQ61" s="2" t="s">
        <v>1025</v>
      </c>
      <c r="CR61" s="2" t="s">
        <v>370</v>
      </c>
      <c r="CS61" s="2" t="s">
        <v>529</v>
      </c>
      <c r="CT61" s="2" t="s">
        <v>368</v>
      </c>
      <c r="CU61" s="2" t="s">
        <v>762</v>
      </c>
    </row>
    <row r="62" ht="12.75" customHeight="1">
      <c r="A62" s="2">
        <v>61.0</v>
      </c>
      <c r="B62" s="2">
        <v>2.0</v>
      </c>
      <c r="C62" s="2" t="s">
        <v>358</v>
      </c>
      <c r="D62" s="2" t="s">
        <v>359</v>
      </c>
      <c r="E62" s="2" t="s">
        <v>360</v>
      </c>
      <c r="F62" s="2" t="s">
        <v>437</v>
      </c>
      <c r="G62" s="2" t="s">
        <v>437</v>
      </c>
      <c r="H62" s="2" t="s">
        <v>362</v>
      </c>
      <c r="I62" s="2" t="s">
        <v>1453</v>
      </c>
      <c r="J62" s="2" t="s">
        <v>1453</v>
      </c>
      <c r="K62" s="2" t="s">
        <v>1453</v>
      </c>
      <c r="L62" s="2" t="s">
        <v>984</v>
      </c>
      <c r="M62" s="2" t="s">
        <v>645</v>
      </c>
      <c r="N62" s="2" t="s">
        <v>369</v>
      </c>
      <c r="O62" s="2" t="s">
        <v>442</v>
      </c>
      <c r="P62" s="2" t="s">
        <v>372</v>
      </c>
      <c r="Q62" s="2" t="s">
        <v>361</v>
      </c>
      <c r="R62" s="2" t="s">
        <v>361</v>
      </c>
      <c r="S62" s="2" t="s">
        <v>376</v>
      </c>
      <c r="T62" s="2" t="s">
        <v>376</v>
      </c>
      <c r="U62" s="2" t="s">
        <v>376</v>
      </c>
      <c r="V62" s="2" t="s">
        <v>376</v>
      </c>
      <c r="W62" s="2" t="s">
        <v>444</v>
      </c>
      <c r="X62" s="2" t="s">
        <v>444</v>
      </c>
      <c r="Y62" s="2" t="s">
        <v>444</v>
      </c>
      <c r="Z62" s="2" t="s">
        <v>444</v>
      </c>
      <c r="AA62" s="2" t="s">
        <v>382</v>
      </c>
      <c r="AB62" s="2" t="s">
        <v>490</v>
      </c>
      <c r="AC62" s="2" t="s">
        <v>1141</v>
      </c>
      <c r="AD62" s="2" t="s">
        <v>388</v>
      </c>
      <c r="AE62" s="2" t="s">
        <v>782</v>
      </c>
      <c r="AF62" s="2" t="s">
        <v>1209</v>
      </c>
      <c r="AG62" s="2" t="s">
        <v>455</v>
      </c>
      <c r="AH62" s="2" t="s">
        <v>33</v>
      </c>
      <c r="AI62" s="2" t="s">
        <v>33</v>
      </c>
      <c r="AJ62" s="2" t="s">
        <v>33</v>
      </c>
      <c r="AK62" s="2" t="s">
        <v>33</v>
      </c>
      <c r="AL62" s="2">
        <v>3.0</v>
      </c>
      <c r="AM62" s="2">
        <v>5.0</v>
      </c>
      <c r="AN62" s="2">
        <v>1.0</v>
      </c>
      <c r="AO62" s="2">
        <v>4.0</v>
      </c>
      <c r="AP62" s="2">
        <v>4.0</v>
      </c>
      <c r="AQ62" s="2">
        <v>2.0</v>
      </c>
      <c r="AR62" s="2">
        <v>3.0</v>
      </c>
      <c r="AS62" s="2">
        <v>2.0</v>
      </c>
      <c r="AT62" s="2">
        <v>2.0</v>
      </c>
      <c r="AU62" s="2">
        <v>1.0</v>
      </c>
      <c r="AV62" s="2">
        <v>3.0</v>
      </c>
      <c r="AW62" s="2">
        <v>2.0</v>
      </c>
      <c r="AX62" s="2">
        <v>2.0</v>
      </c>
      <c r="AY62" s="2">
        <v>1.0</v>
      </c>
      <c r="AZ62" s="2">
        <v>3.0</v>
      </c>
      <c r="BA62" s="2">
        <v>3.0</v>
      </c>
      <c r="BB62" s="2">
        <v>1.0</v>
      </c>
      <c r="BC62" s="2">
        <v>1.0</v>
      </c>
      <c r="BD62" s="2">
        <v>3.0</v>
      </c>
      <c r="BE62" s="2">
        <v>5.0</v>
      </c>
      <c r="BF62" s="2">
        <v>1.0</v>
      </c>
      <c r="BG62" s="2">
        <v>1.0</v>
      </c>
      <c r="BH62" s="2">
        <v>1.0</v>
      </c>
      <c r="BI62" s="2">
        <v>1.0</v>
      </c>
      <c r="BJ62" s="2">
        <v>1.0</v>
      </c>
      <c r="BK62" s="2">
        <v>1.0</v>
      </c>
      <c r="BL62" s="2">
        <v>1.0</v>
      </c>
      <c r="BM62" s="2">
        <v>1.0</v>
      </c>
      <c r="BN62" s="2">
        <v>3.0</v>
      </c>
      <c r="BO62" s="2">
        <v>1.0</v>
      </c>
      <c r="BP62" s="2">
        <v>1.0</v>
      </c>
      <c r="BQ62" s="2" t="s">
        <v>568</v>
      </c>
      <c r="BR62" s="2" t="s">
        <v>389</v>
      </c>
      <c r="BS62" s="2" t="s">
        <v>390</v>
      </c>
      <c r="BT62" s="2" t="s">
        <v>391</v>
      </c>
      <c r="BU62" s="2" t="s">
        <v>393</v>
      </c>
      <c r="BV62" s="2" t="s">
        <v>394</v>
      </c>
      <c r="BW62" s="2" t="s">
        <v>396</v>
      </c>
      <c r="BX62" s="2" t="s">
        <v>33</v>
      </c>
      <c r="BY62" s="2" t="s">
        <v>33</v>
      </c>
      <c r="BZ62" s="2" t="s">
        <v>33</v>
      </c>
      <c r="CA62" s="2" t="s">
        <v>33</v>
      </c>
      <c r="CB62" s="2" t="s">
        <v>33</v>
      </c>
      <c r="CC62" s="2" t="s">
        <v>1925</v>
      </c>
      <c r="CD62" s="2">
        <v>6.0</v>
      </c>
      <c r="CE62" s="2" t="s">
        <v>794</v>
      </c>
      <c r="CF62" s="2" t="s">
        <v>899</v>
      </c>
      <c r="CG62" s="2" t="s">
        <v>1083</v>
      </c>
      <c r="CH62" s="2" t="s">
        <v>998</v>
      </c>
      <c r="CI62" s="2" t="s">
        <v>999</v>
      </c>
      <c r="CJ62" s="2" t="s">
        <v>33</v>
      </c>
      <c r="CK62" s="2" t="s">
        <v>1453</v>
      </c>
      <c r="CL62" s="2" t="s">
        <v>466</v>
      </c>
      <c r="CM62" s="4">
        <v>45392.0</v>
      </c>
      <c r="CN62" s="4">
        <v>45396.0</v>
      </c>
      <c r="CO62" s="2">
        <v>5.0</v>
      </c>
      <c r="CP62" s="2" t="s">
        <v>434</v>
      </c>
      <c r="CQ62" s="2" t="s">
        <v>369</v>
      </c>
      <c r="CR62" s="2" t="s">
        <v>442</v>
      </c>
      <c r="CS62" s="2" t="s">
        <v>434</v>
      </c>
      <c r="CT62" s="2" t="s">
        <v>645</v>
      </c>
      <c r="CU62" s="2" t="s">
        <v>372</v>
      </c>
    </row>
    <row r="63" ht="12.75" customHeight="1">
      <c r="A63" s="2">
        <v>62.0</v>
      </c>
      <c r="B63" s="2">
        <v>1.0</v>
      </c>
      <c r="C63" s="2" t="s">
        <v>358</v>
      </c>
      <c r="D63" s="2" t="s">
        <v>359</v>
      </c>
      <c r="E63" s="2" t="s">
        <v>473</v>
      </c>
      <c r="F63" s="2" t="s">
        <v>443</v>
      </c>
      <c r="G63" s="2" t="s">
        <v>443</v>
      </c>
      <c r="H63" s="2" t="s">
        <v>540</v>
      </c>
      <c r="I63" s="2" t="s">
        <v>1926</v>
      </c>
      <c r="J63" s="2" t="s">
        <v>1926</v>
      </c>
      <c r="K63" s="2" t="s">
        <v>1926</v>
      </c>
      <c r="L63" s="2" t="s">
        <v>984</v>
      </c>
      <c r="M63" s="2" t="s">
        <v>368</v>
      </c>
      <c r="N63" s="2" t="s">
        <v>369</v>
      </c>
      <c r="O63" s="2" t="s">
        <v>442</v>
      </c>
      <c r="P63" s="2" t="s">
        <v>372</v>
      </c>
      <c r="Q63" s="2" t="s">
        <v>443</v>
      </c>
      <c r="R63" s="2" t="s">
        <v>443</v>
      </c>
      <c r="S63" s="2" t="s">
        <v>378</v>
      </c>
      <c r="T63" s="2" t="s">
        <v>378</v>
      </c>
      <c r="U63" s="2" t="s">
        <v>376</v>
      </c>
      <c r="V63" s="2" t="s">
        <v>376</v>
      </c>
      <c r="W63" s="2" t="s">
        <v>378</v>
      </c>
      <c r="X63" s="2" t="s">
        <v>444</v>
      </c>
      <c r="Y63" s="2" t="s">
        <v>444</v>
      </c>
      <c r="Z63" s="2" t="s">
        <v>444</v>
      </c>
      <c r="AA63" s="2" t="s">
        <v>447</v>
      </c>
      <c r="AB63" s="2" t="s">
        <v>551</v>
      </c>
      <c r="AC63" s="2" t="s">
        <v>552</v>
      </c>
      <c r="AD63" s="2" t="s">
        <v>452</v>
      </c>
      <c r="AE63" s="2" t="s">
        <v>387</v>
      </c>
      <c r="AF63" s="2" t="s">
        <v>388</v>
      </c>
      <c r="AG63" s="2" t="s">
        <v>33</v>
      </c>
      <c r="AH63" s="2" t="s">
        <v>33</v>
      </c>
      <c r="AI63" s="2" t="s">
        <v>33</v>
      </c>
      <c r="AJ63" s="2" t="s">
        <v>33</v>
      </c>
      <c r="AK63" s="2" t="s">
        <v>33</v>
      </c>
      <c r="AL63" s="2">
        <v>1.0</v>
      </c>
      <c r="AM63" s="2">
        <v>5.0</v>
      </c>
      <c r="AN63" s="2">
        <v>1.0</v>
      </c>
      <c r="AO63" s="2">
        <v>4.0</v>
      </c>
      <c r="AP63" s="2">
        <v>4.0</v>
      </c>
      <c r="AQ63" s="2">
        <v>1.0</v>
      </c>
      <c r="AR63" s="2">
        <v>3.0</v>
      </c>
      <c r="AS63" s="2">
        <v>4.0</v>
      </c>
      <c r="AT63" s="2">
        <v>4.0</v>
      </c>
      <c r="AU63" s="2">
        <v>5.0</v>
      </c>
      <c r="AV63" s="2">
        <v>5.0</v>
      </c>
      <c r="AW63" s="2">
        <v>3.0</v>
      </c>
      <c r="AX63" s="2">
        <v>3.0</v>
      </c>
      <c r="AY63" s="2">
        <v>4.0</v>
      </c>
      <c r="AZ63" s="2">
        <v>4.0</v>
      </c>
      <c r="BA63" s="2">
        <v>5.0</v>
      </c>
      <c r="BB63" s="2">
        <v>1.0</v>
      </c>
      <c r="BC63" s="2">
        <v>3.0</v>
      </c>
      <c r="BD63" s="2">
        <v>1.0</v>
      </c>
      <c r="BE63" s="2">
        <v>5.0</v>
      </c>
      <c r="BF63" s="2">
        <v>2.0</v>
      </c>
      <c r="BG63" s="2">
        <v>1.0</v>
      </c>
      <c r="BH63" s="2">
        <v>1.0</v>
      </c>
      <c r="BI63" s="2">
        <v>1.0</v>
      </c>
      <c r="BJ63" s="2">
        <v>1.0</v>
      </c>
      <c r="BK63" s="2">
        <v>1.0</v>
      </c>
      <c r="BL63" s="2">
        <v>1.0</v>
      </c>
      <c r="BM63" s="2">
        <v>1.0</v>
      </c>
      <c r="BN63" s="2">
        <v>1.0</v>
      </c>
      <c r="BO63" s="2">
        <v>1.0</v>
      </c>
      <c r="BP63" s="2">
        <v>2.0</v>
      </c>
      <c r="BQ63" s="2" t="s">
        <v>390</v>
      </c>
      <c r="BR63" s="2" t="s">
        <v>391</v>
      </c>
      <c r="BS63" s="2" t="s">
        <v>393</v>
      </c>
      <c r="BT63" s="2" t="s">
        <v>396</v>
      </c>
      <c r="BU63" s="2" t="s">
        <v>33</v>
      </c>
      <c r="BV63" s="2" t="s">
        <v>33</v>
      </c>
      <c r="BW63" s="2" t="s">
        <v>33</v>
      </c>
      <c r="BX63" s="2" t="s">
        <v>33</v>
      </c>
      <c r="BY63" s="2" t="s">
        <v>33</v>
      </c>
      <c r="BZ63" s="2" t="s">
        <v>33</v>
      </c>
      <c r="CA63" s="2" t="s">
        <v>33</v>
      </c>
      <c r="CB63" s="2" t="s">
        <v>33</v>
      </c>
      <c r="CC63" s="2" t="s">
        <v>1927</v>
      </c>
      <c r="CD63" s="2">
        <v>2.0</v>
      </c>
      <c r="CE63" s="2" t="s">
        <v>1083</v>
      </c>
      <c r="CF63" s="2" t="s">
        <v>33</v>
      </c>
      <c r="CG63" s="2" t="s">
        <v>33</v>
      </c>
      <c r="CH63" s="2" t="s">
        <v>33</v>
      </c>
      <c r="CI63" s="2" t="s">
        <v>33</v>
      </c>
      <c r="CJ63" s="2" t="s">
        <v>33</v>
      </c>
      <c r="CK63" s="2" t="s">
        <v>1926</v>
      </c>
      <c r="CL63" s="2" t="s">
        <v>466</v>
      </c>
      <c r="CM63" s="2" t="s">
        <v>33</v>
      </c>
      <c r="CN63" s="2" t="s">
        <v>33</v>
      </c>
      <c r="CO63" s="2" t="s">
        <v>33</v>
      </c>
      <c r="CP63" s="2" t="s">
        <v>434</v>
      </c>
      <c r="CQ63" s="2" t="s">
        <v>369</v>
      </c>
      <c r="CR63" s="2" t="s">
        <v>442</v>
      </c>
      <c r="CS63" s="2" t="s">
        <v>434</v>
      </c>
      <c r="CT63" s="2" t="s">
        <v>368</v>
      </c>
      <c r="CU63" s="2" t="s">
        <v>372</v>
      </c>
    </row>
    <row r="64" ht="12.75" customHeight="1">
      <c r="A64" s="2">
        <v>63.0</v>
      </c>
      <c r="B64" s="2">
        <v>2.0</v>
      </c>
      <c r="C64" s="2" t="s">
        <v>358</v>
      </c>
      <c r="D64" s="2" t="s">
        <v>359</v>
      </c>
      <c r="E64" s="2" t="s">
        <v>473</v>
      </c>
      <c r="F64" s="2" t="s">
        <v>539</v>
      </c>
      <c r="G64" s="2" t="s">
        <v>539</v>
      </c>
      <c r="H64" s="2" t="s">
        <v>540</v>
      </c>
      <c r="I64" s="2" t="s">
        <v>363</v>
      </c>
      <c r="J64" s="2" t="s">
        <v>365</v>
      </c>
      <c r="K64" s="2" t="s">
        <v>366</v>
      </c>
      <c r="L64" s="2" t="s">
        <v>367</v>
      </c>
      <c r="M64" s="2" t="s">
        <v>368</v>
      </c>
      <c r="N64" s="2" t="s">
        <v>369</v>
      </c>
      <c r="O64" s="2" t="s">
        <v>442</v>
      </c>
      <c r="P64" s="2" t="s">
        <v>372</v>
      </c>
      <c r="Q64" s="2" t="s">
        <v>361</v>
      </c>
      <c r="R64" s="2" t="s">
        <v>361</v>
      </c>
      <c r="S64" s="2" t="s">
        <v>376</v>
      </c>
      <c r="T64" s="2" t="s">
        <v>376</v>
      </c>
      <c r="U64" s="2" t="s">
        <v>376</v>
      </c>
      <c r="V64" s="2" t="s">
        <v>376</v>
      </c>
      <c r="W64" s="2" t="s">
        <v>378</v>
      </c>
      <c r="X64" s="2" t="s">
        <v>378</v>
      </c>
      <c r="Y64" s="2" t="s">
        <v>376</v>
      </c>
      <c r="Z64" s="2" t="s">
        <v>378</v>
      </c>
      <c r="AA64" s="2" t="s">
        <v>447</v>
      </c>
      <c r="AB64" s="2" t="s">
        <v>1112</v>
      </c>
      <c r="AC64" s="2" t="s">
        <v>552</v>
      </c>
      <c r="AD64" s="2" t="s">
        <v>452</v>
      </c>
      <c r="AE64" s="2" t="s">
        <v>386</v>
      </c>
      <c r="AF64" s="2" t="s">
        <v>387</v>
      </c>
      <c r="AG64" s="2" t="s">
        <v>388</v>
      </c>
      <c r="AH64" s="2" t="s">
        <v>454</v>
      </c>
      <c r="AI64" s="2" t="s">
        <v>33</v>
      </c>
      <c r="AJ64" s="2" t="s">
        <v>33</v>
      </c>
      <c r="AK64" s="2" t="s">
        <v>33</v>
      </c>
      <c r="AL64" s="2">
        <v>2.0</v>
      </c>
      <c r="AM64" s="2">
        <v>5.0</v>
      </c>
      <c r="AN64" s="2">
        <v>2.0</v>
      </c>
      <c r="AO64" s="2">
        <v>5.0</v>
      </c>
      <c r="AP64" s="2">
        <v>5.0</v>
      </c>
      <c r="AQ64" s="2">
        <v>1.0</v>
      </c>
      <c r="AR64" s="2">
        <v>1.0</v>
      </c>
      <c r="AS64" s="2">
        <v>2.0</v>
      </c>
      <c r="AT64" s="2">
        <v>2.0</v>
      </c>
      <c r="AU64" s="2">
        <v>2.0</v>
      </c>
      <c r="AV64" s="2">
        <v>5.0</v>
      </c>
      <c r="AW64" s="2">
        <v>4.0</v>
      </c>
      <c r="AX64" s="2">
        <v>2.0</v>
      </c>
      <c r="AY64" s="2">
        <v>5.0</v>
      </c>
      <c r="AZ64" s="2">
        <v>1.0</v>
      </c>
      <c r="BA64" s="2">
        <v>5.0</v>
      </c>
      <c r="BB64" s="2">
        <v>2.0</v>
      </c>
      <c r="BC64" s="2">
        <v>2.0</v>
      </c>
      <c r="BD64" s="2">
        <v>1.0</v>
      </c>
      <c r="BE64" s="2">
        <v>5.0</v>
      </c>
      <c r="BF64" s="2">
        <v>1.0</v>
      </c>
      <c r="BG64" s="2">
        <v>1.0</v>
      </c>
      <c r="BH64" s="2">
        <v>1.0</v>
      </c>
      <c r="BI64" s="2">
        <v>2.0</v>
      </c>
      <c r="BJ64" s="2">
        <v>1.0</v>
      </c>
      <c r="BK64" s="2">
        <v>1.0</v>
      </c>
      <c r="BL64" s="2">
        <v>1.0</v>
      </c>
      <c r="BM64" s="2">
        <v>1.0</v>
      </c>
      <c r="BN64" s="2">
        <v>5.0</v>
      </c>
      <c r="BO64" s="2">
        <v>1.0</v>
      </c>
      <c r="BP64" s="2">
        <v>1.0</v>
      </c>
      <c r="BQ64" s="2" t="s">
        <v>389</v>
      </c>
      <c r="BR64" s="2" t="s">
        <v>390</v>
      </c>
      <c r="BS64" s="2" t="s">
        <v>391</v>
      </c>
      <c r="BT64" s="2" t="s">
        <v>393</v>
      </c>
      <c r="BU64" s="2" t="s">
        <v>394</v>
      </c>
      <c r="BV64" s="2" t="s">
        <v>395</v>
      </c>
      <c r="BW64" s="2" t="s">
        <v>33</v>
      </c>
      <c r="BX64" s="2" t="s">
        <v>33</v>
      </c>
      <c r="BY64" s="2" t="s">
        <v>33</v>
      </c>
      <c r="BZ64" s="2" t="s">
        <v>33</v>
      </c>
      <c r="CA64" s="2" t="s">
        <v>33</v>
      </c>
      <c r="CB64" s="2" t="s">
        <v>33</v>
      </c>
      <c r="CC64" s="2" t="s">
        <v>1928</v>
      </c>
      <c r="CD64" s="2">
        <v>1.0</v>
      </c>
      <c r="CE64" s="2" t="s">
        <v>1929</v>
      </c>
      <c r="CF64" s="2" t="s">
        <v>33</v>
      </c>
      <c r="CG64" s="2" t="s">
        <v>33</v>
      </c>
      <c r="CH64" s="2" t="s">
        <v>33</v>
      </c>
      <c r="CI64" s="2" t="s">
        <v>33</v>
      </c>
      <c r="CJ64" s="2" t="s">
        <v>33</v>
      </c>
      <c r="CK64" s="2" t="s">
        <v>425</v>
      </c>
      <c r="CL64" s="2" t="s">
        <v>367</v>
      </c>
      <c r="CM64" s="4">
        <v>45399.0</v>
      </c>
      <c r="CN64" s="4">
        <v>45399.0</v>
      </c>
      <c r="CO64" s="2">
        <v>1.0</v>
      </c>
      <c r="CP64" s="2" t="s">
        <v>434</v>
      </c>
      <c r="CQ64" s="2" t="s">
        <v>369</v>
      </c>
      <c r="CR64" s="2" t="s">
        <v>442</v>
      </c>
      <c r="CS64" s="2" t="s">
        <v>434</v>
      </c>
      <c r="CT64" s="2" t="s">
        <v>368</v>
      </c>
      <c r="CU64" s="2" t="s">
        <v>372</v>
      </c>
    </row>
    <row r="65" ht="12.75" customHeight="1">
      <c r="A65" s="2">
        <v>64.0</v>
      </c>
      <c r="B65" s="2">
        <v>13.0</v>
      </c>
      <c r="C65" s="2" t="s">
        <v>358</v>
      </c>
      <c r="D65" s="2" t="s">
        <v>359</v>
      </c>
      <c r="E65" s="2" t="s">
        <v>360</v>
      </c>
      <c r="F65" s="2" t="s">
        <v>539</v>
      </c>
      <c r="G65" s="2" t="s">
        <v>539</v>
      </c>
      <c r="H65" s="2" t="s">
        <v>362</v>
      </c>
      <c r="I65" s="2" t="s">
        <v>438</v>
      </c>
      <c r="J65" s="2" t="s">
        <v>438</v>
      </c>
      <c r="K65" s="2" t="s">
        <v>366</v>
      </c>
      <c r="L65" s="2" t="s">
        <v>440</v>
      </c>
      <c r="M65" s="2" t="s">
        <v>368</v>
      </c>
      <c r="N65" s="2" t="s">
        <v>369</v>
      </c>
      <c r="O65" s="2" t="s">
        <v>442</v>
      </c>
      <c r="P65" s="2" t="s">
        <v>762</v>
      </c>
      <c r="Q65" s="2" t="s">
        <v>480</v>
      </c>
      <c r="R65" s="2" t="s">
        <v>480</v>
      </c>
      <c r="S65" s="2" t="s">
        <v>376</v>
      </c>
      <c r="T65" s="2" t="s">
        <v>378</v>
      </c>
      <c r="U65" s="2" t="s">
        <v>378</v>
      </c>
      <c r="V65" s="2" t="s">
        <v>378</v>
      </c>
      <c r="W65" s="2" t="s">
        <v>444</v>
      </c>
      <c r="X65" s="2" t="s">
        <v>444</v>
      </c>
      <c r="Y65" s="2" t="s">
        <v>444</v>
      </c>
      <c r="Z65" s="2" t="s">
        <v>444</v>
      </c>
      <c r="AA65" s="2" t="s">
        <v>382</v>
      </c>
      <c r="AB65" s="2" t="s">
        <v>359</v>
      </c>
      <c r="AC65" s="2" t="s">
        <v>806</v>
      </c>
      <c r="AD65" s="2" t="s">
        <v>33</v>
      </c>
      <c r="AE65" s="2" t="s">
        <v>33</v>
      </c>
      <c r="AF65" s="2" t="s">
        <v>33</v>
      </c>
      <c r="AG65" s="2" t="s">
        <v>33</v>
      </c>
      <c r="AH65" s="2" t="s">
        <v>33</v>
      </c>
      <c r="AI65" s="2" t="s">
        <v>33</v>
      </c>
      <c r="AJ65" s="2" t="s">
        <v>33</v>
      </c>
      <c r="AK65" s="2" t="s">
        <v>33</v>
      </c>
      <c r="AL65" s="2">
        <v>1.0</v>
      </c>
      <c r="AM65" s="2">
        <v>2.0</v>
      </c>
      <c r="AN65" s="2">
        <v>2.0</v>
      </c>
      <c r="AO65" s="2">
        <v>3.0</v>
      </c>
      <c r="AP65" s="2">
        <v>3.0</v>
      </c>
      <c r="AQ65" s="2">
        <v>1.0</v>
      </c>
      <c r="AR65" s="2">
        <v>2.0</v>
      </c>
      <c r="AS65" s="2">
        <v>2.0</v>
      </c>
      <c r="AT65" s="2">
        <v>2.0</v>
      </c>
      <c r="AU65" s="2">
        <v>3.0</v>
      </c>
      <c r="AV65" s="2">
        <v>1.0</v>
      </c>
      <c r="AW65" s="2">
        <v>2.0</v>
      </c>
      <c r="AX65" s="2">
        <v>1.0</v>
      </c>
      <c r="AY65" s="2">
        <v>1.0</v>
      </c>
      <c r="AZ65" s="2">
        <v>1.0</v>
      </c>
      <c r="BA65" s="2">
        <v>3.0</v>
      </c>
      <c r="BB65" s="2">
        <v>2.0</v>
      </c>
      <c r="BC65" s="2">
        <v>1.0</v>
      </c>
      <c r="BD65" s="2">
        <v>1.0</v>
      </c>
      <c r="BE65" s="2">
        <v>5.0</v>
      </c>
      <c r="BF65" s="2">
        <v>3.0</v>
      </c>
      <c r="BG65" s="2">
        <v>1.0</v>
      </c>
      <c r="BH65" s="2">
        <v>1.0</v>
      </c>
      <c r="BI65" s="2">
        <v>3.0</v>
      </c>
      <c r="BJ65" s="2">
        <v>1.0</v>
      </c>
      <c r="BK65" s="2">
        <v>2.0</v>
      </c>
      <c r="BL65" s="2">
        <v>1.0</v>
      </c>
      <c r="BM65" s="2">
        <v>1.0</v>
      </c>
      <c r="BN65" s="2">
        <v>4.0</v>
      </c>
      <c r="BO65" s="2">
        <v>1.0</v>
      </c>
      <c r="BP65" s="2">
        <v>2.0</v>
      </c>
      <c r="BQ65" s="2" t="s">
        <v>389</v>
      </c>
      <c r="BR65" s="2" t="s">
        <v>390</v>
      </c>
      <c r="BS65" s="2" t="s">
        <v>392</v>
      </c>
      <c r="BT65" s="2" t="s">
        <v>396</v>
      </c>
      <c r="BU65" s="2" t="s">
        <v>730</v>
      </c>
      <c r="BV65" s="2" t="s">
        <v>33</v>
      </c>
      <c r="BW65" s="2" t="s">
        <v>33</v>
      </c>
      <c r="BX65" s="2" t="s">
        <v>33</v>
      </c>
      <c r="BY65" s="2" t="s">
        <v>33</v>
      </c>
      <c r="BZ65" s="2" t="s">
        <v>33</v>
      </c>
      <c r="CA65" s="2" t="s">
        <v>33</v>
      </c>
      <c r="CB65" s="2" t="s">
        <v>33</v>
      </c>
      <c r="CC65" s="2" t="s">
        <v>1930</v>
      </c>
      <c r="CD65" s="2">
        <v>5.0</v>
      </c>
      <c r="CE65" s="2" t="s">
        <v>33</v>
      </c>
      <c r="CF65" s="2" t="s">
        <v>33</v>
      </c>
      <c r="CG65" s="2" t="s">
        <v>1083</v>
      </c>
      <c r="CH65" s="2" t="s">
        <v>33</v>
      </c>
      <c r="CI65" s="2" t="s">
        <v>33</v>
      </c>
      <c r="CJ65" s="2" t="s">
        <v>33</v>
      </c>
      <c r="CK65" s="2" t="s">
        <v>438</v>
      </c>
      <c r="CL65" s="2" t="s">
        <v>466</v>
      </c>
      <c r="CM65" s="2" t="s">
        <v>33</v>
      </c>
      <c r="CN65" s="2" t="s">
        <v>33</v>
      </c>
      <c r="CO65" s="2" t="s">
        <v>33</v>
      </c>
      <c r="CP65" s="2" t="s">
        <v>529</v>
      </c>
      <c r="CQ65" s="2" t="s">
        <v>369</v>
      </c>
      <c r="CR65" s="2" t="s">
        <v>442</v>
      </c>
      <c r="CS65" s="2" t="s">
        <v>529</v>
      </c>
      <c r="CT65" s="2" t="s">
        <v>368</v>
      </c>
      <c r="CU65" s="2" t="s">
        <v>762</v>
      </c>
    </row>
    <row r="66" ht="12.75" customHeight="1">
      <c r="A66" s="2">
        <v>65.0</v>
      </c>
      <c r="B66" s="2">
        <v>3.0</v>
      </c>
      <c r="C66" s="2" t="s">
        <v>358</v>
      </c>
      <c r="D66" s="2" t="s">
        <v>359</v>
      </c>
      <c r="E66" s="2" t="s">
        <v>360</v>
      </c>
      <c r="F66" s="2" t="s">
        <v>539</v>
      </c>
      <c r="G66" s="2" t="s">
        <v>539</v>
      </c>
      <c r="H66" s="2" t="s">
        <v>540</v>
      </c>
      <c r="I66" s="2" t="s">
        <v>363</v>
      </c>
      <c r="J66" s="2" t="s">
        <v>365</v>
      </c>
      <c r="K66" s="2" t="s">
        <v>366</v>
      </c>
      <c r="L66" s="2" t="s">
        <v>367</v>
      </c>
      <c r="M66" s="2" t="s">
        <v>645</v>
      </c>
      <c r="N66" s="2" t="s">
        <v>441</v>
      </c>
      <c r="O66" s="2" t="s">
        <v>479</v>
      </c>
      <c r="P66" s="2" t="s">
        <v>372</v>
      </c>
      <c r="Q66" s="2" t="s">
        <v>480</v>
      </c>
      <c r="R66" s="2" t="s">
        <v>480</v>
      </c>
      <c r="S66" s="2" t="s">
        <v>378</v>
      </c>
      <c r="T66" s="2" t="s">
        <v>378</v>
      </c>
      <c r="U66" s="2" t="s">
        <v>376</v>
      </c>
      <c r="V66" s="2" t="s">
        <v>376</v>
      </c>
      <c r="W66" s="2" t="s">
        <v>444</v>
      </c>
      <c r="X66" s="2" t="s">
        <v>378</v>
      </c>
      <c r="Y66" s="2" t="s">
        <v>376</v>
      </c>
      <c r="Z66" s="2" t="s">
        <v>378</v>
      </c>
      <c r="AA66" s="2" t="s">
        <v>382</v>
      </c>
      <c r="AB66" s="2" t="s">
        <v>33</v>
      </c>
      <c r="AC66" s="2" t="s">
        <v>1094</v>
      </c>
      <c r="AD66" s="2" t="s">
        <v>455</v>
      </c>
      <c r="AE66" s="2" t="s">
        <v>33</v>
      </c>
      <c r="AF66" s="2" t="s">
        <v>33</v>
      </c>
      <c r="AG66" s="2" t="s">
        <v>33</v>
      </c>
      <c r="AH66" s="2" t="s">
        <v>33</v>
      </c>
      <c r="AI66" s="2" t="s">
        <v>33</v>
      </c>
      <c r="AJ66" s="2" t="s">
        <v>33</v>
      </c>
      <c r="AK66" s="2" t="s">
        <v>33</v>
      </c>
      <c r="AL66" s="2">
        <v>4.0</v>
      </c>
      <c r="AM66" s="2">
        <v>3.0</v>
      </c>
      <c r="AN66" s="2">
        <v>4.0</v>
      </c>
      <c r="AO66" s="2">
        <v>4.0</v>
      </c>
      <c r="AP66" s="2">
        <v>4.0</v>
      </c>
      <c r="AQ66" s="2">
        <v>3.0</v>
      </c>
      <c r="AR66" s="2">
        <v>2.0</v>
      </c>
      <c r="AS66" s="2">
        <v>2.0</v>
      </c>
      <c r="AT66" s="2">
        <v>2.0</v>
      </c>
      <c r="AU66" s="2">
        <v>2.0</v>
      </c>
      <c r="AV66" s="2">
        <v>4.0</v>
      </c>
      <c r="AW66" s="2">
        <v>3.0</v>
      </c>
      <c r="AX66" s="2">
        <v>1.0</v>
      </c>
      <c r="AY66" s="2">
        <v>3.0</v>
      </c>
      <c r="AZ66" s="2">
        <v>2.0</v>
      </c>
      <c r="BA66" s="2">
        <v>2.0</v>
      </c>
      <c r="BB66" s="2">
        <v>1.0</v>
      </c>
      <c r="BC66" s="2">
        <v>3.0</v>
      </c>
      <c r="BD66" s="2">
        <v>4.0</v>
      </c>
      <c r="BE66" s="2">
        <v>4.0</v>
      </c>
      <c r="BF66" s="2">
        <v>3.0</v>
      </c>
      <c r="BG66" s="2">
        <v>1.0</v>
      </c>
      <c r="BH66" s="2">
        <v>1.0</v>
      </c>
      <c r="BI66" s="2">
        <v>1.0</v>
      </c>
      <c r="BJ66" s="2">
        <v>1.0</v>
      </c>
      <c r="BK66" s="2">
        <v>2.0</v>
      </c>
      <c r="BL66" s="2">
        <v>1.0</v>
      </c>
      <c r="BM66" s="2">
        <v>1.0</v>
      </c>
      <c r="BN66" s="2">
        <v>4.0</v>
      </c>
      <c r="BO66" s="2">
        <v>1.0</v>
      </c>
      <c r="BP66" s="2">
        <v>3.0</v>
      </c>
      <c r="BQ66" s="2" t="s">
        <v>389</v>
      </c>
      <c r="BR66" s="2" t="s">
        <v>390</v>
      </c>
      <c r="BS66" s="2" t="s">
        <v>391</v>
      </c>
      <c r="BT66" s="2" t="s">
        <v>392</v>
      </c>
      <c r="BU66" s="2" t="s">
        <v>393</v>
      </c>
      <c r="BV66" s="2" t="s">
        <v>33</v>
      </c>
      <c r="BW66" s="2" t="s">
        <v>33</v>
      </c>
      <c r="BX66" s="2" t="s">
        <v>33</v>
      </c>
      <c r="BY66" s="2" t="s">
        <v>33</v>
      </c>
      <c r="BZ66" s="2" t="s">
        <v>33</v>
      </c>
      <c r="CA66" s="2" t="s">
        <v>33</v>
      </c>
      <c r="CB66" s="2" t="s">
        <v>33</v>
      </c>
      <c r="CC66" s="2" t="s">
        <v>1931</v>
      </c>
      <c r="CD66" s="2">
        <v>3.0</v>
      </c>
      <c r="CE66" s="2" t="s">
        <v>33</v>
      </c>
      <c r="CF66" s="2" t="s">
        <v>998</v>
      </c>
      <c r="CG66" s="2" t="s">
        <v>33</v>
      </c>
      <c r="CH66" s="2" t="s">
        <v>33</v>
      </c>
      <c r="CI66" s="2" t="s">
        <v>33</v>
      </c>
      <c r="CJ66" s="2" t="s">
        <v>33</v>
      </c>
      <c r="CK66" s="2" t="s">
        <v>425</v>
      </c>
      <c r="CL66" s="2" t="s">
        <v>367</v>
      </c>
      <c r="CM66" s="2" t="s">
        <v>33</v>
      </c>
      <c r="CN66" s="2" t="s">
        <v>33</v>
      </c>
      <c r="CO66" s="2" t="s">
        <v>33</v>
      </c>
      <c r="CP66" s="2" t="s">
        <v>529</v>
      </c>
      <c r="CQ66" s="2" t="s">
        <v>441</v>
      </c>
      <c r="CR66" s="2" t="s">
        <v>479</v>
      </c>
      <c r="CS66" s="2" t="s">
        <v>529</v>
      </c>
      <c r="CT66" s="2" t="s">
        <v>645</v>
      </c>
      <c r="CU66" s="2" t="s">
        <v>372</v>
      </c>
    </row>
    <row r="67" ht="12.75" customHeight="1">
      <c r="A67" s="2">
        <v>66.0</v>
      </c>
      <c r="B67" s="2">
        <v>1.0</v>
      </c>
      <c r="C67" s="2" t="s">
        <v>358</v>
      </c>
      <c r="D67" s="2" t="s">
        <v>359</v>
      </c>
      <c r="E67" s="2" t="s">
        <v>473</v>
      </c>
      <c r="F67" s="2" t="s">
        <v>437</v>
      </c>
      <c r="G67" s="2" t="s">
        <v>437</v>
      </c>
      <c r="H67" s="2" t="s">
        <v>540</v>
      </c>
      <c r="I67" s="2" t="s">
        <v>1932</v>
      </c>
      <c r="J67" s="2" t="s">
        <v>599</v>
      </c>
      <c r="K67" s="2" t="s">
        <v>366</v>
      </c>
      <c r="L67" s="2" t="s">
        <v>599</v>
      </c>
      <c r="M67" s="2" t="s">
        <v>368</v>
      </c>
      <c r="N67" s="2" t="s">
        <v>1025</v>
      </c>
      <c r="O67" s="2" t="s">
        <v>442</v>
      </c>
      <c r="P67" s="2" t="s">
        <v>1026</v>
      </c>
      <c r="Q67" s="2" t="s">
        <v>480</v>
      </c>
      <c r="R67" s="2" t="s">
        <v>480</v>
      </c>
      <c r="S67" s="2" t="s">
        <v>444</v>
      </c>
      <c r="T67" s="2" t="s">
        <v>378</v>
      </c>
      <c r="U67" s="2" t="s">
        <v>378</v>
      </c>
      <c r="V67" s="2" t="s">
        <v>378</v>
      </c>
      <c r="W67" s="2" t="s">
        <v>376</v>
      </c>
      <c r="X67" s="2" t="s">
        <v>444</v>
      </c>
      <c r="Y67" s="2" t="s">
        <v>378</v>
      </c>
      <c r="Z67" s="2" t="s">
        <v>444</v>
      </c>
      <c r="AA67" s="2" t="s">
        <v>986</v>
      </c>
      <c r="AB67" s="2" t="s">
        <v>1933</v>
      </c>
      <c r="AC67" s="2" t="s">
        <v>1141</v>
      </c>
      <c r="AD67" s="2" t="s">
        <v>387</v>
      </c>
      <c r="AE67" s="2" t="s">
        <v>388</v>
      </c>
      <c r="AF67" s="2" t="s">
        <v>455</v>
      </c>
      <c r="AG67" s="2" t="s">
        <v>33</v>
      </c>
      <c r="AH67" s="2" t="s">
        <v>33</v>
      </c>
      <c r="AI67" s="2" t="s">
        <v>33</v>
      </c>
      <c r="AJ67" s="2" t="s">
        <v>33</v>
      </c>
      <c r="AK67" s="2" t="s">
        <v>33</v>
      </c>
      <c r="AL67" s="2">
        <v>1.0</v>
      </c>
      <c r="AM67" s="2">
        <v>4.0</v>
      </c>
      <c r="AN67" s="2">
        <v>1.0</v>
      </c>
      <c r="AO67" s="2">
        <v>2.0</v>
      </c>
      <c r="AP67" s="2">
        <v>2.0</v>
      </c>
      <c r="AQ67" s="2">
        <v>1.0</v>
      </c>
      <c r="AR67" s="2">
        <v>3.0</v>
      </c>
      <c r="AS67" s="2">
        <v>3.0</v>
      </c>
      <c r="AT67" s="2">
        <v>2.0</v>
      </c>
      <c r="AU67" s="2">
        <v>4.0</v>
      </c>
      <c r="AV67" s="2">
        <v>4.0</v>
      </c>
      <c r="AW67" s="2">
        <v>4.0</v>
      </c>
      <c r="AX67" s="2">
        <v>1.0</v>
      </c>
      <c r="AY67" s="2">
        <v>3.0</v>
      </c>
      <c r="AZ67" s="2">
        <v>1.0</v>
      </c>
      <c r="BA67" s="2">
        <v>2.0</v>
      </c>
      <c r="BB67" s="2">
        <v>4.0</v>
      </c>
      <c r="BC67" s="2">
        <v>4.0</v>
      </c>
      <c r="BD67" s="2">
        <v>4.0</v>
      </c>
      <c r="BE67" s="2">
        <v>4.0</v>
      </c>
      <c r="BF67" s="2">
        <v>1.0</v>
      </c>
      <c r="BG67" s="2">
        <v>1.0</v>
      </c>
      <c r="BH67" s="2">
        <v>1.0</v>
      </c>
      <c r="BI67" s="2">
        <v>1.0</v>
      </c>
      <c r="BJ67" s="2">
        <v>1.0</v>
      </c>
      <c r="BK67" s="2">
        <v>1.0</v>
      </c>
      <c r="BL67" s="2">
        <v>1.0</v>
      </c>
      <c r="BM67" s="2">
        <v>1.0</v>
      </c>
      <c r="BN67" s="2">
        <v>4.0</v>
      </c>
      <c r="BO67" s="2">
        <v>1.0</v>
      </c>
      <c r="BP67" s="2">
        <v>1.0</v>
      </c>
      <c r="BQ67" s="2" t="s">
        <v>389</v>
      </c>
      <c r="BR67" s="2" t="s">
        <v>390</v>
      </c>
      <c r="BS67" s="2" t="s">
        <v>391</v>
      </c>
      <c r="BT67" s="2" t="s">
        <v>393</v>
      </c>
      <c r="BU67" s="2" t="s">
        <v>396</v>
      </c>
      <c r="BV67" s="2" t="s">
        <v>33</v>
      </c>
      <c r="BW67" s="2" t="s">
        <v>33</v>
      </c>
      <c r="BX67" s="2" t="s">
        <v>33</v>
      </c>
      <c r="BY67" s="2" t="s">
        <v>33</v>
      </c>
      <c r="BZ67" s="2" t="s">
        <v>33</v>
      </c>
      <c r="CA67" s="2" t="s">
        <v>33</v>
      </c>
      <c r="CB67" s="2" t="s">
        <v>33</v>
      </c>
      <c r="CC67" s="2" t="s">
        <v>1934</v>
      </c>
      <c r="CD67" s="2">
        <v>3.0</v>
      </c>
      <c r="CE67" s="2" t="s">
        <v>952</v>
      </c>
      <c r="CF67" s="2" t="s">
        <v>998</v>
      </c>
      <c r="CG67" s="2" t="s">
        <v>33</v>
      </c>
      <c r="CH67" s="2" t="s">
        <v>33</v>
      </c>
      <c r="CI67" s="2" t="s">
        <v>33</v>
      </c>
      <c r="CJ67" s="2" t="s">
        <v>33</v>
      </c>
      <c r="CK67" s="2" t="s">
        <v>1932</v>
      </c>
      <c r="CL67" s="2" t="s">
        <v>466</v>
      </c>
      <c r="CM67" s="2" t="s">
        <v>33</v>
      </c>
      <c r="CN67" s="2" t="s">
        <v>33</v>
      </c>
      <c r="CO67" s="2" t="s">
        <v>33</v>
      </c>
      <c r="CP67" s="2" t="s">
        <v>529</v>
      </c>
      <c r="CQ67" s="2" t="s">
        <v>1025</v>
      </c>
      <c r="CR67" s="2" t="s">
        <v>442</v>
      </c>
      <c r="CS67" s="2" t="s">
        <v>529</v>
      </c>
      <c r="CT67" s="2" t="s">
        <v>368</v>
      </c>
      <c r="CU67" s="2" t="s">
        <v>1026</v>
      </c>
    </row>
    <row r="68" ht="12.75" customHeight="1">
      <c r="A68" s="2">
        <v>67.0</v>
      </c>
      <c r="B68" s="2">
        <v>2.0</v>
      </c>
      <c r="C68" s="2" t="s">
        <v>358</v>
      </c>
      <c r="D68" s="2" t="s">
        <v>359</v>
      </c>
      <c r="E68" s="2" t="s">
        <v>360</v>
      </c>
      <c r="F68" s="2" t="s">
        <v>437</v>
      </c>
      <c r="G68" s="2" t="s">
        <v>437</v>
      </c>
      <c r="H68" s="2" t="s">
        <v>540</v>
      </c>
      <c r="I68" s="2" t="s">
        <v>1935</v>
      </c>
      <c r="J68" s="2" t="s">
        <v>438</v>
      </c>
      <c r="K68" s="2" t="s">
        <v>366</v>
      </c>
      <c r="L68" s="2" t="s">
        <v>440</v>
      </c>
      <c r="M68" s="2" t="s">
        <v>645</v>
      </c>
      <c r="N68" s="2" t="s">
        <v>369</v>
      </c>
      <c r="O68" s="2" t="s">
        <v>442</v>
      </c>
      <c r="P68" s="2" t="s">
        <v>762</v>
      </c>
      <c r="Q68" s="2" t="s">
        <v>480</v>
      </c>
      <c r="R68" s="2" t="s">
        <v>480</v>
      </c>
      <c r="S68" s="2" t="s">
        <v>378</v>
      </c>
      <c r="T68" s="2" t="s">
        <v>378</v>
      </c>
      <c r="U68" s="2" t="s">
        <v>378</v>
      </c>
      <c r="V68" s="2" t="s">
        <v>378</v>
      </c>
      <c r="W68" s="2" t="s">
        <v>444</v>
      </c>
      <c r="X68" s="2" t="s">
        <v>444</v>
      </c>
      <c r="Y68" s="2" t="s">
        <v>444</v>
      </c>
      <c r="Z68" s="2" t="s">
        <v>378</v>
      </c>
      <c r="AA68" s="2" t="s">
        <v>1031</v>
      </c>
      <c r="AB68" s="2" t="s">
        <v>1936</v>
      </c>
      <c r="AC68" s="2" t="s">
        <v>552</v>
      </c>
      <c r="AD68" s="2" t="s">
        <v>452</v>
      </c>
      <c r="AE68" s="2" t="s">
        <v>387</v>
      </c>
      <c r="AF68" s="2" t="s">
        <v>388</v>
      </c>
      <c r="AG68" s="2" t="s">
        <v>455</v>
      </c>
      <c r="AH68" s="2" t="s">
        <v>33</v>
      </c>
      <c r="AI68" s="2" t="s">
        <v>33</v>
      </c>
      <c r="AJ68" s="2" t="s">
        <v>33</v>
      </c>
      <c r="AK68" s="2" t="s">
        <v>33</v>
      </c>
      <c r="AL68" s="2">
        <v>2.0</v>
      </c>
      <c r="AM68" s="2">
        <v>5.0</v>
      </c>
      <c r="AN68" s="2">
        <v>1.0</v>
      </c>
      <c r="AO68" s="2">
        <v>3.0</v>
      </c>
      <c r="AP68" s="2">
        <v>3.0</v>
      </c>
      <c r="AQ68" s="2">
        <v>1.0</v>
      </c>
      <c r="AR68" s="2">
        <v>2.0</v>
      </c>
      <c r="AS68" s="2">
        <v>3.0</v>
      </c>
      <c r="AT68" s="2">
        <v>4.0</v>
      </c>
      <c r="AU68" s="2">
        <v>5.0</v>
      </c>
      <c r="AV68" s="2">
        <v>5.0</v>
      </c>
      <c r="AW68" s="2">
        <v>5.0</v>
      </c>
      <c r="AX68" s="2">
        <v>1.0</v>
      </c>
      <c r="AY68" s="2">
        <v>4.0</v>
      </c>
      <c r="AZ68" s="2">
        <v>1.0</v>
      </c>
      <c r="BA68" s="2">
        <v>4.0</v>
      </c>
      <c r="BB68" s="2">
        <v>1.0</v>
      </c>
      <c r="BC68" s="2">
        <v>3.0</v>
      </c>
      <c r="BD68" s="2">
        <v>5.0</v>
      </c>
      <c r="BE68" s="2">
        <v>2.0</v>
      </c>
      <c r="BF68" s="2">
        <v>1.0</v>
      </c>
      <c r="BG68" s="2">
        <v>1.0</v>
      </c>
      <c r="BH68" s="2">
        <v>1.0</v>
      </c>
      <c r="BI68" s="2">
        <v>1.0</v>
      </c>
      <c r="BJ68" s="2">
        <v>1.0</v>
      </c>
      <c r="BK68" s="2">
        <v>1.0</v>
      </c>
      <c r="BL68" s="2">
        <v>1.0</v>
      </c>
      <c r="BM68" s="2">
        <v>1.0</v>
      </c>
      <c r="BN68" s="2">
        <v>5.0</v>
      </c>
      <c r="BO68" s="2">
        <v>1.0</v>
      </c>
      <c r="BP68" s="2">
        <v>1.0</v>
      </c>
      <c r="BQ68" s="2" t="s">
        <v>568</v>
      </c>
      <c r="BR68" s="2" t="s">
        <v>389</v>
      </c>
      <c r="BS68" s="2" t="s">
        <v>390</v>
      </c>
      <c r="BT68" s="2" t="s">
        <v>391</v>
      </c>
      <c r="BU68" s="2" t="s">
        <v>392</v>
      </c>
      <c r="BV68" s="2" t="s">
        <v>393</v>
      </c>
      <c r="BW68" s="2" t="s">
        <v>394</v>
      </c>
      <c r="BX68" s="2" t="s">
        <v>395</v>
      </c>
      <c r="BY68" s="2" t="s">
        <v>519</v>
      </c>
      <c r="BZ68" s="2" t="s">
        <v>396</v>
      </c>
      <c r="CA68" s="2" t="s">
        <v>573</v>
      </c>
      <c r="CB68" s="2" t="s">
        <v>730</v>
      </c>
      <c r="CC68" s="2" t="s">
        <v>1937</v>
      </c>
      <c r="CD68" s="2">
        <v>5.0</v>
      </c>
      <c r="CE68" s="2" t="s">
        <v>794</v>
      </c>
      <c r="CF68" s="2" t="s">
        <v>899</v>
      </c>
      <c r="CG68" s="2" t="s">
        <v>1083</v>
      </c>
      <c r="CH68" s="2" t="s">
        <v>999</v>
      </c>
      <c r="CI68" s="2" t="s">
        <v>33</v>
      </c>
      <c r="CJ68" s="2" t="s">
        <v>33</v>
      </c>
      <c r="CK68" s="2" t="s">
        <v>1935</v>
      </c>
      <c r="CL68" s="2" t="s">
        <v>466</v>
      </c>
      <c r="CM68" s="2" t="s">
        <v>33</v>
      </c>
      <c r="CN68" s="2" t="s">
        <v>33</v>
      </c>
      <c r="CO68" s="2" t="s">
        <v>33</v>
      </c>
      <c r="CP68" s="2" t="s">
        <v>529</v>
      </c>
      <c r="CQ68" s="2" t="s">
        <v>369</v>
      </c>
      <c r="CR68" s="2" t="s">
        <v>442</v>
      </c>
      <c r="CS68" s="2" t="s">
        <v>529</v>
      </c>
      <c r="CT68" s="2" t="s">
        <v>645</v>
      </c>
      <c r="CU68" s="2" t="s">
        <v>762</v>
      </c>
    </row>
    <row r="69" ht="12.75" customHeight="1">
      <c r="A69" s="2">
        <v>68.0</v>
      </c>
      <c r="B69" s="2">
        <v>2.0</v>
      </c>
      <c r="C69" s="2" t="s">
        <v>358</v>
      </c>
      <c r="D69" s="2" t="s">
        <v>359</v>
      </c>
      <c r="E69" s="2" t="s">
        <v>360</v>
      </c>
      <c r="F69" s="2" t="s">
        <v>361</v>
      </c>
      <c r="G69" s="2" t="s">
        <v>361</v>
      </c>
      <c r="H69" s="2" t="s">
        <v>540</v>
      </c>
      <c r="I69" s="2" t="s">
        <v>1938</v>
      </c>
      <c r="J69" s="2" t="s">
        <v>599</v>
      </c>
      <c r="K69" s="2" t="s">
        <v>366</v>
      </c>
      <c r="L69" s="2" t="s">
        <v>599</v>
      </c>
      <c r="M69" s="2" t="s">
        <v>368</v>
      </c>
      <c r="N69" s="2" t="s">
        <v>802</v>
      </c>
      <c r="O69" s="2" t="s">
        <v>442</v>
      </c>
      <c r="P69" s="2" t="s">
        <v>372</v>
      </c>
      <c r="Q69" s="2" t="s">
        <v>361</v>
      </c>
      <c r="R69" s="2" t="s">
        <v>361</v>
      </c>
      <c r="S69" s="2" t="s">
        <v>378</v>
      </c>
      <c r="T69" s="2" t="s">
        <v>376</v>
      </c>
      <c r="U69" s="2" t="s">
        <v>376</v>
      </c>
      <c r="V69" s="2" t="s">
        <v>376</v>
      </c>
      <c r="W69" s="2" t="s">
        <v>378</v>
      </c>
      <c r="X69" s="2" t="s">
        <v>376</v>
      </c>
      <c r="Y69" s="2" t="s">
        <v>378</v>
      </c>
      <c r="Z69" s="2" t="s">
        <v>378</v>
      </c>
      <c r="AA69" s="2" t="s">
        <v>447</v>
      </c>
      <c r="AB69" s="2" t="s">
        <v>490</v>
      </c>
      <c r="AC69" s="2" t="s">
        <v>1094</v>
      </c>
      <c r="AD69" s="2" t="s">
        <v>388</v>
      </c>
      <c r="AE69" s="2" t="s">
        <v>454</v>
      </c>
      <c r="AF69" s="2" t="s">
        <v>33</v>
      </c>
      <c r="AG69" s="2" t="s">
        <v>33</v>
      </c>
      <c r="AH69" s="2" t="s">
        <v>33</v>
      </c>
      <c r="AI69" s="2" t="s">
        <v>33</v>
      </c>
      <c r="AJ69" s="2" t="s">
        <v>33</v>
      </c>
      <c r="AK69" s="2" t="s">
        <v>33</v>
      </c>
      <c r="AL69" s="2">
        <v>4.0</v>
      </c>
      <c r="AM69" s="2">
        <v>2.0</v>
      </c>
      <c r="AN69" s="2">
        <v>4.0</v>
      </c>
      <c r="AO69" s="2">
        <v>4.0</v>
      </c>
      <c r="AP69" s="2">
        <v>4.0</v>
      </c>
      <c r="AQ69" s="2">
        <v>4.0</v>
      </c>
      <c r="AR69" s="2">
        <v>4.0</v>
      </c>
      <c r="AS69" s="2">
        <v>3.0</v>
      </c>
      <c r="AT69" s="2">
        <v>4.0</v>
      </c>
      <c r="AU69" s="2">
        <v>4.0</v>
      </c>
      <c r="AV69" s="2">
        <v>1.0</v>
      </c>
      <c r="AW69" s="2">
        <v>5.0</v>
      </c>
      <c r="AX69" s="2">
        <v>3.0</v>
      </c>
      <c r="AY69" s="2">
        <v>3.0</v>
      </c>
      <c r="AZ69" s="2">
        <v>5.0</v>
      </c>
      <c r="BA69" s="2">
        <v>1.0</v>
      </c>
      <c r="BB69" s="2">
        <v>5.0</v>
      </c>
      <c r="BC69" s="2">
        <v>5.0</v>
      </c>
      <c r="BD69" s="2">
        <v>5.0</v>
      </c>
      <c r="BE69" s="2">
        <v>5.0</v>
      </c>
      <c r="BF69" s="2">
        <v>1.0</v>
      </c>
      <c r="BG69" s="2">
        <v>1.0</v>
      </c>
      <c r="BH69" s="2">
        <v>1.0</v>
      </c>
      <c r="BI69" s="2">
        <v>1.0</v>
      </c>
      <c r="BJ69" s="2">
        <v>1.0</v>
      </c>
      <c r="BK69" s="2">
        <v>1.0</v>
      </c>
      <c r="BL69" s="2">
        <v>1.0</v>
      </c>
      <c r="BM69" s="2">
        <v>1.0</v>
      </c>
      <c r="BN69" s="2">
        <v>5.0</v>
      </c>
      <c r="BO69" s="2">
        <v>1.0</v>
      </c>
      <c r="BP69" s="2">
        <v>1.0</v>
      </c>
      <c r="BQ69" s="2" t="s">
        <v>568</v>
      </c>
      <c r="BR69" s="2" t="s">
        <v>389</v>
      </c>
      <c r="BS69" s="2" t="s">
        <v>390</v>
      </c>
      <c r="BT69" s="2" t="s">
        <v>391</v>
      </c>
      <c r="BU69" s="2" t="s">
        <v>393</v>
      </c>
      <c r="BV69" s="2" t="s">
        <v>396</v>
      </c>
      <c r="BW69" s="2" t="s">
        <v>33</v>
      </c>
      <c r="BX69" s="2" t="s">
        <v>33</v>
      </c>
      <c r="BY69" s="2" t="s">
        <v>33</v>
      </c>
      <c r="BZ69" s="2" t="s">
        <v>33</v>
      </c>
      <c r="CA69" s="2" t="s">
        <v>33</v>
      </c>
      <c r="CB69" s="2" t="s">
        <v>33</v>
      </c>
      <c r="CC69" s="2" t="s">
        <v>1939</v>
      </c>
      <c r="CD69" s="2">
        <v>5.0</v>
      </c>
      <c r="CE69" s="2" t="s">
        <v>794</v>
      </c>
      <c r="CF69" s="2" t="s">
        <v>952</v>
      </c>
      <c r="CG69" s="2" t="s">
        <v>1083</v>
      </c>
      <c r="CH69" s="2" t="s">
        <v>1940</v>
      </c>
      <c r="CI69" s="2" t="s">
        <v>33</v>
      </c>
      <c r="CJ69" s="2" t="s">
        <v>33</v>
      </c>
      <c r="CK69" s="2" t="s">
        <v>1938</v>
      </c>
      <c r="CL69" s="2" t="s">
        <v>466</v>
      </c>
      <c r="CM69" s="4">
        <v>45668.0</v>
      </c>
      <c r="CN69" s="4">
        <v>45672.0</v>
      </c>
      <c r="CO69" s="2">
        <v>5.0</v>
      </c>
      <c r="CP69" s="2" t="s">
        <v>434</v>
      </c>
      <c r="CQ69" s="2" t="s">
        <v>802</v>
      </c>
      <c r="CR69" s="2" t="s">
        <v>442</v>
      </c>
      <c r="CS69" s="2" t="s">
        <v>434</v>
      </c>
      <c r="CT69" s="2" t="s">
        <v>368</v>
      </c>
      <c r="CU69" s="2" t="s">
        <v>372</v>
      </c>
    </row>
    <row r="70" ht="12.75" customHeight="1">
      <c r="A70" s="2">
        <v>69.0</v>
      </c>
      <c r="B70" s="2">
        <v>2.0</v>
      </c>
      <c r="C70" s="2" t="s">
        <v>358</v>
      </c>
      <c r="D70" s="2" t="s">
        <v>359</v>
      </c>
      <c r="E70" s="2" t="s">
        <v>473</v>
      </c>
      <c r="F70" s="2" t="s">
        <v>606</v>
      </c>
      <c r="G70" s="2" t="s">
        <v>1941</v>
      </c>
      <c r="H70" s="2" t="s">
        <v>362</v>
      </c>
      <c r="I70" s="2" t="s">
        <v>859</v>
      </c>
      <c r="J70" s="2" t="s">
        <v>599</v>
      </c>
      <c r="K70" s="2" t="s">
        <v>366</v>
      </c>
      <c r="L70" s="2" t="s">
        <v>599</v>
      </c>
      <c r="M70" s="2" t="s">
        <v>368</v>
      </c>
      <c r="N70" s="2" t="s">
        <v>369</v>
      </c>
      <c r="O70" s="2" t="s">
        <v>442</v>
      </c>
      <c r="P70" s="2" t="s">
        <v>372</v>
      </c>
      <c r="Q70" s="2" t="s">
        <v>606</v>
      </c>
      <c r="R70" s="2" t="s">
        <v>1942</v>
      </c>
      <c r="S70" s="2" t="s">
        <v>444</v>
      </c>
      <c r="T70" s="2" t="s">
        <v>378</v>
      </c>
      <c r="U70" s="2" t="s">
        <v>378</v>
      </c>
      <c r="V70" s="2" t="s">
        <v>378</v>
      </c>
      <c r="W70" s="2" t="s">
        <v>444</v>
      </c>
      <c r="X70" s="2" t="s">
        <v>444</v>
      </c>
      <c r="Y70" s="2" t="s">
        <v>444</v>
      </c>
      <c r="Z70" s="2" t="s">
        <v>378</v>
      </c>
      <c r="AA70" s="2" t="s">
        <v>382</v>
      </c>
      <c r="AB70" s="2" t="s">
        <v>359</v>
      </c>
      <c r="AC70" s="2" t="s">
        <v>1094</v>
      </c>
      <c r="AD70" s="2" t="s">
        <v>388</v>
      </c>
      <c r="AE70" s="2" t="s">
        <v>33</v>
      </c>
      <c r="AF70" s="2" t="s">
        <v>33</v>
      </c>
      <c r="AG70" s="2" t="s">
        <v>33</v>
      </c>
      <c r="AH70" s="2" t="s">
        <v>33</v>
      </c>
      <c r="AI70" s="2" t="s">
        <v>33</v>
      </c>
      <c r="AJ70" s="2" t="s">
        <v>33</v>
      </c>
      <c r="AK70" s="2" t="s">
        <v>33</v>
      </c>
      <c r="AL70" s="2">
        <v>2.0</v>
      </c>
      <c r="AM70" s="2">
        <v>5.0</v>
      </c>
      <c r="AN70" s="2">
        <v>1.0</v>
      </c>
      <c r="AO70" s="2">
        <v>3.0</v>
      </c>
      <c r="AP70" s="2">
        <v>3.0</v>
      </c>
      <c r="AQ70" s="2">
        <v>1.0</v>
      </c>
      <c r="AR70" s="2">
        <v>5.0</v>
      </c>
      <c r="AS70" s="2">
        <v>4.0</v>
      </c>
      <c r="AT70" s="2">
        <v>3.0</v>
      </c>
      <c r="AU70" s="2">
        <v>1.0</v>
      </c>
      <c r="AV70" s="2">
        <v>1.0</v>
      </c>
      <c r="AW70" s="2">
        <v>1.0</v>
      </c>
      <c r="AX70" s="2">
        <v>1.0</v>
      </c>
      <c r="AY70" s="2">
        <v>4.0</v>
      </c>
      <c r="AZ70" s="2">
        <v>1.0</v>
      </c>
      <c r="BA70" s="2">
        <v>4.0</v>
      </c>
      <c r="BB70" s="2">
        <v>1.0</v>
      </c>
      <c r="BC70" s="2">
        <v>1.0</v>
      </c>
      <c r="BD70" s="2">
        <v>3.0</v>
      </c>
      <c r="BE70" s="2">
        <v>3.0</v>
      </c>
      <c r="BF70" s="2">
        <v>2.0</v>
      </c>
      <c r="BG70" s="2">
        <v>1.0</v>
      </c>
      <c r="BH70" s="2">
        <v>1.0</v>
      </c>
      <c r="BI70" s="2">
        <v>1.0</v>
      </c>
      <c r="BJ70" s="2">
        <v>4.0</v>
      </c>
      <c r="BK70" s="2">
        <v>1.0</v>
      </c>
      <c r="BL70" s="2">
        <v>1.0</v>
      </c>
      <c r="BM70" s="2">
        <v>1.0</v>
      </c>
      <c r="BN70" s="2">
        <v>2.0</v>
      </c>
      <c r="BO70" s="2">
        <v>1.0</v>
      </c>
      <c r="BP70" s="2">
        <v>1.0</v>
      </c>
      <c r="BQ70" s="2" t="s">
        <v>389</v>
      </c>
      <c r="BR70" s="2" t="s">
        <v>390</v>
      </c>
      <c r="BS70" s="2" t="s">
        <v>391</v>
      </c>
      <c r="BT70" s="2" t="s">
        <v>392</v>
      </c>
      <c r="BU70" s="2" t="s">
        <v>33</v>
      </c>
      <c r="BV70" s="2" t="s">
        <v>33</v>
      </c>
      <c r="BW70" s="2" t="s">
        <v>33</v>
      </c>
      <c r="BX70" s="2" t="s">
        <v>33</v>
      </c>
      <c r="BY70" s="2" t="s">
        <v>33</v>
      </c>
      <c r="BZ70" s="2" t="s">
        <v>33</v>
      </c>
      <c r="CA70" s="2" t="s">
        <v>33</v>
      </c>
      <c r="CB70" s="2" t="s">
        <v>33</v>
      </c>
      <c r="CC70" s="2" t="s">
        <v>1943</v>
      </c>
      <c r="CD70" s="2">
        <v>5.0</v>
      </c>
      <c r="CE70" s="2" t="s">
        <v>794</v>
      </c>
      <c r="CF70" s="2" t="s">
        <v>1083</v>
      </c>
      <c r="CG70" s="2" t="s">
        <v>999</v>
      </c>
      <c r="CH70" s="2" t="s">
        <v>33</v>
      </c>
      <c r="CI70" s="2" t="s">
        <v>33</v>
      </c>
      <c r="CJ70" s="2" t="s">
        <v>33</v>
      </c>
      <c r="CK70" s="2" t="s">
        <v>859</v>
      </c>
      <c r="CL70" s="2" t="s">
        <v>466</v>
      </c>
      <c r="CM70" s="4">
        <v>45673.0</v>
      </c>
      <c r="CN70" s="4">
        <v>45677.0</v>
      </c>
      <c r="CO70" s="2">
        <v>5.0</v>
      </c>
      <c r="CP70" s="2" t="s">
        <v>434</v>
      </c>
      <c r="CQ70" s="2" t="s">
        <v>369</v>
      </c>
      <c r="CR70" s="2" t="s">
        <v>442</v>
      </c>
      <c r="CS70" s="2" t="s">
        <v>434</v>
      </c>
      <c r="CT70" s="2" t="s">
        <v>368</v>
      </c>
      <c r="CU70" s="2" t="s">
        <v>372</v>
      </c>
    </row>
    <row r="71" ht="12.75" customHeight="1">
      <c r="A71" s="2">
        <v>70.0</v>
      </c>
      <c r="B71" s="2">
        <v>3.0</v>
      </c>
      <c r="C71" s="2" t="s">
        <v>358</v>
      </c>
      <c r="D71" s="2" t="s">
        <v>359</v>
      </c>
      <c r="E71" s="2" t="s">
        <v>360</v>
      </c>
      <c r="F71" s="2" t="s">
        <v>437</v>
      </c>
      <c r="G71" s="2" t="s">
        <v>437</v>
      </c>
      <c r="H71" s="2" t="s">
        <v>540</v>
      </c>
      <c r="I71" s="2" t="s">
        <v>1944</v>
      </c>
      <c r="J71" s="2" t="s">
        <v>365</v>
      </c>
      <c r="K71" s="2" t="s">
        <v>366</v>
      </c>
      <c r="L71" s="2" t="s">
        <v>440</v>
      </c>
      <c r="M71" s="2" t="s">
        <v>368</v>
      </c>
      <c r="N71" s="2" t="s">
        <v>441</v>
      </c>
      <c r="O71" s="2" t="s">
        <v>442</v>
      </c>
      <c r="P71" s="2" t="s">
        <v>372</v>
      </c>
      <c r="Q71" s="2" t="s">
        <v>480</v>
      </c>
      <c r="R71" s="2" t="s">
        <v>480</v>
      </c>
      <c r="S71" s="2" t="s">
        <v>378</v>
      </c>
      <c r="T71" s="2" t="s">
        <v>378</v>
      </c>
      <c r="U71" s="2" t="s">
        <v>376</v>
      </c>
      <c r="V71" s="2" t="s">
        <v>376</v>
      </c>
      <c r="W71" s="2" t="s">
        <v>444</v>
      </c>
      <c r="X71" s="2" t="s">
        <v>378</v>
      </c>
      <c r="Y71" s="2" t="s">
        <v>378</v>
      </c>
      <c r="Z71" s="2" t="s">
        <v>444</v>
      </c>
      <c r="AA71" s="2" t="s">
        <v>382</v>
      </c>
      <c r="AB71" s="2" t="s">
        <v>551</v>
      </c>
      <c r="AC71" s="2" t="s">
        <v>385</v>
      </c>
      <c r="AD71" s="2" t="s">
        <v>386</v>
      </c>
      <c r="AE71" s="2" t="s">
        <v>387</v>
      </c>
      <c r="AF71" s="2" t="s">
        <v>388</v>
      </c>
      <c r="AG71" s="2" t="s">
        <v>455</v>
      </c>
      <c r="AH71" s="2" t="s">
        <v>33</v>
      </c>
      <c r="AI71" s="2" t="s">
        <v>33</v>
      </c>
      <c r="AJ71" s="2" t="s">
        <v>33</v>
      </c>
      <c r="AK71" s="2" t="s">
        <v>33</v>
      </c>
      <c r="AL71" s="2">
        <v>4.0</v>
      </c>
      <c r="AM71" s="2">
        <v>1.0</v>
      </c>
      <c r="AN71" s="2">
        <v>4.0</v>
      </c>
      <c r="AO71" s="2">
        <v>1.0</v>
      </c>
      <c r="AP71" s="2">
        <v>1.0</v>
      </c>
      <c r="AQ71" s="2">
        <v>3.0</v>
      </c>
      <c r="AR71" s="2">
        <v>2.0</v>
      </c>
      <c r="AS71" s="2">
        <v>1.0</v>
      </c>
      <c r="AT71" s="2">
        <v>2.0</v>
      </c>
      <c r="AU71" s="2">
        <v>1.0</v>
      </c>
      <c r="AV71" s="2">
        <v>1.0</v>
      </c>
      <c r="AW71" s="2">
        <v>1.0</v>
      </c>
      <c r="AX71" s="2">
        <v>4.0</v>
      </c>
      <c r="AY71" s="2">
        <v>2.0</v>
      </c>
      <c r="AZ71" s="2">
        <v>4.0</v>
      </c>
      <c r="BA71" s="2">
        <v>1.0</v>
      </c>
      <c r="BB71" s="2">
        <v>2.0</v>
      </c>
      <c r="BC71" s="2">
        <v>2.0</v>
      </c>
      <c r="BD71" s="2">
        <v>3.0</v>
      </c>
      <c r="BE71" s="2">
        <v>1.0</v>
      </c>
      <c r="BF71" s="2">
        <v>4.0</v>
      </c>
      <c r="BG71" s="2">
        <v>4.0</v>
      </c>
      <c r="BH71" s="2">
        <v>4.0</v>
      </c>
      <c r="BI71" s="2">
        <v>4.0</v>
      </c>
      <c r="BJ71" s="2">
        <v>2.0</v>
      </c>
      <c r="BK71" s="2">
        <v>3.0</v>
      </c>
      <c r="BL71" s="2">
        <v>4.0</v>
      </c>
      <c r="BM71" s="2">
        <v>4.0</v>
      </c>
      <c r="BN71" s="2">
        <v>1.0</v>
      </c>
      <c r="BO71" s="2">
        <v>4.0</v>
      </c>
      <c r="BP71" s="2">
        <v>3.0</v>
      </c>
      <c r="BQ71" s="2" t="s">
        <v>389</v>
      </c>
      <c r="BR71" s="2" t="s">
        <v>390</v>
      </c>
      <c r="BS71" s="2" t="s">
        <v>391</v>
      </c>
      <c r="BT71" s="2" t="s">
        <v>392</v>
      </c>
      <c r="BU71" s="2" t="s">
        <v>393</v>
      </c>
      <c r="BV71" s="2" t="s">
        <v>396</v>
      </c>
      <c r="BW71" s="2" t="s">
        <v>33</v>
      </c>
      <c r="BX71" s="2" t="s">
        <v>33</v>
      </c>
      <c r="BY71" s="2" t="s">
        <v>33</v>
      </c>
      <c r="BZ71" s="2" t="s">
        <v>33</v>
      </c>
      <c r="CA71" s="2" t="s">
        <v>33</v>
      </c>
      <c r="CB71" s="2" t="s">
        <v>33</v>
      </c>
      <c r="CC71" s="3" t="s">
        <v>1945</v>
      </c>
      <c r="CD71" s="2">
        <v>6.0</v>
      </c>
      <c r="CE71" s="2" t="s">
        <v>794</v>
      </c>
      <c r="CF71" s="2" t="s">
        <v>952</v>
      </c>
      <c r="CG71" s="2" t="s">
        <v>1019</v>
      </c>
      <c r="CH71" s="2" t="s">
        <v>999</v>
      </c>
      <c r="CI71" s="2" t="s">
        <v>33</v>
      </c>
      <c r="CJ71" s="2" t="s">
        <v>33</v>
      </c>
      <c r="CK71" s="2" t="s">
        <v>1944</v>
      </c>
      <c r="CL71" s="2" t="s">
        <v>466</v>
      </c>
      <c r="CM71" s="4">
        <v>45671.0</v>
      </c>
      <c r="CN71" s="4">
        <v>45675.0</v>
      </c>
      <c r="CO71" s="2">
        <v>5.0</v>
      </c>
      <c r="CP71" s="2" t="s">
        <v>529</v>
      </c>
      <c r="CQ71" s="2" t="s">
        <v>441</v>
      </c>
      <c r="CR71" s="2" t="s">
        <v>442</v>
      </c>
      <c r="CS71" s="2" t="s">
        <v>529</v>
      </c>
      <c r="CT71" s="2" t="s">
        <v>368</v>
      </c>
      <c r="CU71" s="2" t="s">
        <v>372</v>
      </c>
    </row>
    <row r="72" ht="12.75" customHeight="1">
      <c r="A72" s="2">
        <v>71.0</v>
      </c>
      <c r="B72" s="2">
        <v>2.0</v>
      </c>
      <c r="C72" s="2" t="s">
        <v>358</v>
      </c>
      <c r="D72" s="2" t="s">
        <v>359</v>
      </c>
      <c r="E72" s="2" t="s">
        <v>360</v>
      </c>
      <c r="F72" s="2" t="s">
        <v>437</v>
      </c>
      <c r="G72" s="2" t="s">
        <v>437</v>
      </c>
      <c r="H72" s="2" t="s">
        <v>362</v>
      </c>
      <c r="I72" s="2" t="s">
        <v>425</v>
      </c>
      <c r="J72" s="2" t="s">
        <v>365</v>
      </c>
      <c r="K72" s="2" t="s">
        <v>366</v>
      </c>
      <c r="L72" s="2" t="s">
        <v>367</v>
      </c>
      <c r="M72" s="2" t="s">
        <v>368</v>
      </c>
      <c r="N72" s="2" t="s">
        <v>441</v>
      </c>
      <c r="O72" s="2" t="s">
        <v>442</v>
      </c>
      <c r="P72" s="2" t="s">
        <v>762</v>
      </c>
      <c r="Q72" s="2" t="s">
        <v>480</v>
      </c>
      <c r="R72" s="2" t="s">
        <v>480</v>
      </c>
      <c r="S72" s="2" t="s">
        <v>378</v>
      </c>
      <c r="T72" s="2" t="s">
        <v>378</v>
      </c>
      <c r="U72" s="2" t="s">
        <v>378</v>
      </c>
      <c r="V72" s="2" t="s">
        <v>378</v>
      </c>
      <c r="W72" s="2" t="s">
        <v>444</v>
      </c>
      <c r="X72" s="2" t="s">
        <v>444</v>
      </c>
      <c r="Y72" s="2" t="s">
        <v>444</v>
      </c>
      <c r="Z72" s="2" t="s">
        <v>378</v>
      </c>
      <c r="AA72" s="2" t="s">
        <v>382</v>
      </c>
      <c r="AB72" s="2" t="s">
        <v>1946</v>
      </c>
      <c r="AC72" s="2" t="s">
        <v>385</v>
      </c>
      <c r="AD72" s="2" t="s">
        <v>386</v>
      </c>
      <c r="AE72" s="2" t="s">
        <v>387</v>
      </c>
      <c r="AF72" s="2" t="s">
        <v>388</v>
      </c>
      <c r="AG72" s="2" t="s">
        <v>455</v>
      </c>
      <c r="AH72" s="2" t="s">
        <v>33</v>
      </c>
      <c r="AI72" s="2" t="s">
        <v>33</v>
      </c>
      <c r="AJ72" s="2" t="s">
        <v>33</v>
      </c>
      <c r="AK72" s="2" t="s">
        <v>33</v>
      </c>
      <c r="AL72" s="2">
        <v>1.0</v>
      </c>
      <c r="AM72" s="2">
        <v>4.0</v>
      </c>
      <c r="AN72" s="2">
        <v>2.0</v>
      </c>
      <c r="AO72" s="2">
        <v>3.0</v>
      </c>
      <c r="AP72" s="2">
        <v>2.0</v>
      </c>
      <c r="AQ72" s="2">
        <v>2.0</v>
      </c>
      <c r="AR72" s="2">
        <v>2.0</v>
      </c>
      <c r="AS72" s="2">
        <v>3.0</v>
      </c>
      <c r="AT72" s="2">
        <v>3.0</v>
      </c>
      <c r="AU72" s="2">
        <v>3.0</v>
      </c>
      <c r="AV72" s="2">
        <v>3.0</v>
      </c>
      <c r="AW72" s="2">
        <v>3.0</v>
      </c>
      <c r="AX72" s="2">
        <v>1.0</v>
      </c>
      <c r="AY72" s="2">
        <v>2.0</v>
      </c>
      <c r="AZ72" s="2">
        <v>1.0</v>
      </c>
      <c r="BA72" s="2">
        <v>5.0</v>
      </c>
      <c r="BB72" s="2">
        <v>1.0</v>
      </c>
      <c r="BC72" s="2">
        <v>3.0</v>
      </c>
      <c r="BD72" s="2">
        <v>4.0</v>
      </c>
      <c r="BE72" s="2">
        <v>4.0</v>
      </c>
      <c r="BF72" s="2">
        <v>1.0</v>
      </c>
      <c r="BG72" s="2">
        <v>2.0</v>
      </c>
      <c r="BH72" s="2">
        <v>1.0</v>
      </c>
      <c r="BI72" s="2">
        <v>1.0</v>
      </c>
      <c r="BJ72" s="2">
        <v>1.0</v>
      </c>
      <c r="BK72" s="2">
        <v>1.0</v>
      </c>
      <c r="BL72" s="2">
        <v>3.0</v>
      </c>
      <c r="BM72" s="2">
        <v>1.0</v>
      </c>
      <c r="BN72" s="2">
        <v>5.0</v>
      </c>
      <c r="BO72" s="2">
        <v>1.0</v>
      </c>
      <c r="BP72" s="2">
        <v>1.0</v>
      </c>
      <c r="BQ72" s="2" t="s">
        <v>389</v>
      </c>
      <c r="BR72" s="2" t="s">
        <v>390</v>
      </c>
      <c r="BS72" s="2" t="s">
        <v>391</v>
      </c>
      <c r="BT72" s="2" t="s">
        <v>393</v>
      </c>
      <c r="BU72" s="2" t="s">
        <v>396</v>
      </c>
      <c r="BV72" s="2" t="s">
        <v>33</v>
      </c>
      <c r="BW72" s="2" t="s">
        <v>33</v>
      </c>
      <c r="BX72" s="2" t="s">
        <v>33</v>
      </c>
      <c r="BY72" s="2" t="s">
        <v>33</v>
      </c>
      <c r="BZ72" s="2" t="s">
        <v>33</v>
      </c>
      <c r="CA72" s="2" t="s">
        <v>33</v>
      </c>
      <c r="CB72" s="2" t="s">
        <v>33</v>
      </c>
      <c r="CC72" s="2" t="s">
        <v>1947</v>
      </c>
      <c r="CD72" s="2">
        <v>5.0</v>
      </c>
      <c r="CE72" s="2" t="s">
        <v>794</v>
      </c>
      <c r="CF72" s="2" t="s">
        <v>952</v>
      </c>
      <c r="CG72" s="2" t="s">
        <v>1019</v>
      </c>
      <c r="CH72" s="2" t="s">
        <v>999</v>
      </c>
      <c r="CI72" s="2" t="s">
        <v>33</v>
      </c>
      <c r="CJ72" s="2" t="s">
        <v>33</v>
      </c>
      <c r="CK72" s="2" t="s">
        <v>425</v>
      </c>
      <c r="CL72" s="2" t="s">
        <v>367</v>
      </c>
      <c r="CM72" s="4">
        <v>45677.0</v>
      </c>
      <c r="CN72" s="4">
        <v>45681.0</v>
      </c>
      <c r="CO72" s="2">
        <v>5.0</v>
      </c>
      <c r="CP72" s="2" t="s">
        <v>529</v>
      </c>
      <c r="CQ72" s="2" t="s">
        <v>441</v>
      </c>
      <c r="CR72" s="2" t="s">
        <v>442</v>
      </c>
      <c r="CS72" s="2" t="s">
        <v>529</v>
      </c>
      <c r="CT72" s="2" t="s">
        <v>368</v>
      </c>
      <c r="CU72" s="2" t="s">
        <v>762</v>
      </c>
    </row>
    <row r="73" ht="12.75" customHeight="1">
      <c r="A73" s="2">
        <v>72.0</v>
      </c>
      <c r="B73" s="2">
        <v>2.0</v>
      </c>
      <c r="C73" s="2" t="s">
        <v>358</v>
      </c>
      <c r="D73" s="2" t="s">
        <v>639</v>
      </c>
      <c r="E73" s="2" t="s">
        <v>473</v>
      </c>
      <c r="F73" s="2" t="s">
        <v>539</v>
      </c>
      <c r="G73" s="2" t="s">
        <v>539</v>
      </c>
      <c r="H73" s="2" t="s">
        <v>1948</v>
      </c>
      <c r="I73" s="2" t="s">
        <v>425</v>
      </c>
      <c r="J73" s="2" t="s">
        <v>365</v>
      </c>
      <c r="K73" s="2" t="s">
        <v>366</v>
      </c>
      <c r="L73" s="2" t="s">
        <v>367</v>
      </c>
      <c r="M73" s="2" t="s">
        <v>368</v>
      </c>
      <c r="N73" s="2" t="s">
        <v>369</v>
      </c>
      <c r="O73" s="2" t="s">
        <v>442</v>
      </c>
      <c r="P73" s="2" t="s">
        <v>372</v>
      </c>
      <c r="Q73" s="2" t="s">
        <v>443</v>
      </c>
      <c r="R73" s="2" t="s">
        <v>443</v>
      </c>
      <c r="S73" s="2" t="s">
        <v>378</v>
      </c>
      <c r="T73" s="2" t="s">
        <v>376</v>
      </c>
      <c r="U73" s="2" t="s">
        <v>376</v>
      </c>
      <c r="V73" s="2" t="s">
        <v>376</v>
      </c>
      <c r="W73" s="2" t="s">
        <v>444</v>
      </c>
      <c r="X73" s="2" t="s">
        <v>444</v>
      </c>
      <c r="Y73" s="2" t="s">
        <v>376</v>
      </c>
      <c r="Z73" s="2" t="s">
        <v>378</v>
      </c>
      <c r="AA73" s="2" t="s">
        <v>382</v>
      </c>
      <c r="AB73" s="2" t="s">
        <v>490</v>
      </c>
      <c r="AC73" s="2" t="s">
        <v>1141</v>
      </c>
      <c r="AD73" s="2" t="s">
        <v>387</v>
      </c>
      <c r="AE73" s="2" t="s">
        <v>388</v>
      </c>
      <c r="AF73" s="2" t="s">
        <v>1209</v>
      </c>
      <c r="AG73" s="2" t="s">
        <v>33</v>
      </c>
      <c r="AH73" s="2" t="s">
        <v>33</v>
      </c>
      <c r="AI73" s="2" t="s">
        <v>33</v>
      </c>
      <c r="AJ73" s="2" t="s">
        <v>33</v>
      </c>
      <c r="AK73" s="2" t="s">
        <v>33</v>
      </c>
      <c r="AL73" s="2">
        <v>2.0</v>
      </c>
      <c r="AM73" s="2">
        <v>2.0</v>
      </c>
      <c r="AN73" s="2">
        <v>1.0</v>
      </c>
      <c r="AO73" s="2">
        <v>2.0</v>
      </c>
      <c r="AP73" s="2">
        <v>1.0</v>
      </c>
      <c r="AQ73" s="2">
        <v>1.0</v>
      </c>
      <c r="AR73" s="2">
        <v>2.0</v>
      </c>
      <c r="AS73" s="2">
        <v>2.0</v>
      </c>
      <c r="AT73" s="2">
        <v>2.0</v>
      </c>
      <c r="AU73" s="2">
        <v>1.0</v>
      </c>
      <c r="AV73" s="2">
        <v>2.0</v>
      </c>
      <c r="AW73" s="2">
        <v>2.0</v>
      </c>
      <c r="AX73" s="2">
        <v>1.0</v>
      </c>
      <c r="AY73" s="2">
        <v>1.0</v>
      </c>
      <c r="AZ73" s="2">
        <v>2.0</v>
      </c>
      <c r="BA73" s="2">
        <v>4.0</v>
      </c>
      <c r="BB73" s="2">
        <v>3.0</v>
      </c>
      <c r="BC73" s="2">
        <v>1.0</v>
      </c>
      <c r="BD73" s="2">
        <v>1.0</v>
      </c>
      <c r="BE73" s="2">
        <v>3.0</v>
      </c>
      <c r="BF73" s="2">
        <v>2.0</v>
      </c>
      <c r="BG73" s="2">
        <v>1.0</v>
      </c>
      <c r="BH73" s="2">
        <v>1.0</v>
      </c>
      <c r="BI73" s="2">
        <v>1.0</v>
      </c>
      <c r="BJ73" s="2">
        <v>2.0</v>
      </c>
      <c r="BK73" s="2">
        <v>1.0</v>
      </c>
      <c r="BL73" s="2">
        <v>2.0</v>
      </c>
      <c r="BM73" s="2">
        <v>1.0</v>
      </c>
      <c r="BN73" s="2">
        <v>2.0</v>
      </c>
      <c r="BO73" s="2">
        <v>1.0</v>
      </c>
      <c r="BP73" s="2">
        <v>1.0</v>
      </c>
      <c r="BQ73" s="2" t="s">
        <v>568</v>
      </c>
      <c r="BR73" s="2" t="s">
        <v>389</v>
      </c>
      <c r="BS73" s="2" t="s">
        <v>390</v>
      </c>
      <c r="BT73" s="2" t="s">
        <v>391</v>
      </c>
      <c r="BU73" s="2" t="s">
        <v>393</v>
      </c>
      <c r="BV73" s="2" t="s">
        <v>394</v>
      </c>
      <c r="BW73" s="2" t="s">
        <v>395</v>
      </c>
      <c r="BX73" s="2" t="s">
        <v>519</v>
      </c>
      <c r="BY73" s="2" t="s">
        <v>33</v>
      </c>
      <c r="BZ73" s="2" t="s">
        <v>33</v>
      </c>
      <c r="CA73" s="2" t="s">
        <v>33</v>
      </c>
      <c r="CB73" s="2" t="s">
        <v>33</v>
      </c>
      <c r="CC73" s="2" t="s">
        <v>1954</v>
      </c>
      <c r="CD73" s="2">
        <v>5.0</v>
      </c>
      <c r="CE73" s="2" t="s">
        <v>794</v>
      </c>
      <c r="CF73" s="2" t="s">
        <v>899</v>
      </c>
      <c r="CG73" s="2" t="s">
        <v>1083</v>
      </c>
      <c r="CH73" s="2" t="s">
        <v>1957</v>
      </c>
      <c r="CI73" s="2" t="s">
        <v>999</v>
      </c>
      <c r="CJ73" s="2" t="s">
        <v>33</v>
      </c>
      <c r="CK73" s="2" t="s">
        <v>425</v>
      </c>
      <c r="CL73" s="2" t="s">
        <v>367</v>
      </c>
      <c r="CM73" s="2" t="s">
        <v>33</v>
      </c>
      <c r="CN73" s="2" t="s">
        <v>33</v>
      </c>
      <c r="CO73" s="2" t="s">
        <v>33</v>
      </c>
      <c r="CP73" s="2" t="s">
        <v>434</v>
      </c>
      <c r="CQ73" s="2" t="s">
        <v>369</v>
      </c>
      <c r="CR73" s="2" t="s">
        <v>442</v>
      </c>
      <c r="CS73" s="2" t="s">
        <v>434</v>
      </c>
      <c r="CT73" s="2" t="s">
        <v>368</v>
      </c>
      <c r="CU73" s="2" t="s">
        <v>372</v>
      </c>
    </row>
    <row r="74" ht="12.75" customHeight="1">
      <c r="A74" s="2">
        <v>73.0</v>
      </c>
      <c r="B74" s="2">
        <v>2.0</v>
      </c>
      <c r="C74" s="2" t="s">
        <v>358</v>
      </c>
      <c r="D74" s="2" t="s">
        <v>359</v>
      </c>
      <c r="E74" s="2" t="s">
        <v>360</v>
      </c>
      <c r="F74" s="2" t="s">
        <v>437</v>
      </c>
      <c r="G74" s="2" t="s">
        <v>437</v>
      </c>
      <c r="H74" s="2" t="s">
        <v>362</v>
      </c>
      <c r="I74" s="2" t="s">
        <v>859</v>
      </c>
      <c r="J74" s="2" t="s">
        <v>599</v>
      </c>
      <c r="K74" s="2" t="s">
        <v>366</v>
      </c>
      <c r="L74" s="2" t="s">
        <v>599</v>
      </c>
      <c r="M74" s="2" t="s">
        <v>368</v>
      </c>
      <c r="N74" s="2" t="s">
        <v>369</v>
      </c>
      <c r="O74" s="2" t="s">
        <v>442</v>
      </c>
      <c r="P74" s="2" t="s">
        <v>762</v>
      </c>
      <c r="Q74" s="2" t="s">
        <v>480</v>
      </c>
      <c r="R74" s="2" t="s">
        <v>480</v>
      </c>
      <c r="S74" s="2" t="s">
        <v>378</v>
      </c>
      <c r="T74" s="2" t="s">
        <v>376</v>
      </c>
      <c r="U74" s="2" t="s">
        <v>376</v>
      </c>
      <c r="V74" s="2" t="s">
        <v>376</v>
      </c>
      <c r="W74" s="2" t="s">
        <v>444</v>
      </c>
      <c r="X74" s="2" t="s">
        <v>444</v>
      </c>
      <c r="Y74" s="2" t="s">
        <v>444</v>
      </c>
      <c r="Z74" s="2" t="s">
        <v>444</v>
      </c>
      <c r="AA74" s="2" t="s">
        <v>1031</v>
      </c>
      <c r="AB74" s="2" t="s">
        <v>490</v>
      </c>
      <c r="AC74" s="2" t="s">
        <v>1094</v>
      </c>
      <c r="AD74" s="2" t="s">
        <v>388</v>
      </c>
      <c r="AE74" s="2" t="s">
        <v>455</v>
      </c>
      <c r="AF74" s="2" t="s">
        <v>33</v>
      </c>
      <c r="AG74" s="2" t="s">
        <v>33</v>
      </c>
      <c r="AH74" s="2" t="s">
        <v>33</v>
      </c>
      <c r="AI74" s="2" t="s">
        <v>33</v>
      </c>
      <c r="AJ74" s="2" t="s">
        <v>33</v>
      </c>
      <c r="AK74" s="2" t="s">
        <v>33</v>
      </c>
      <c r="AL74" s="2">
        <v>3.0</v>
      </c>
      <c r="AM74" s="2">
        <v>5.0</v>
      </c>
      <c r="AN74" s="2">
        <v>3.0</v>
      </c>
      <c r="AO74" s="2">
        <v>5.0</v>
      </c>
      <c r="AP74" s="2">
        <v>5.0</v>
      </c>
      <c r="AQ74" s="2">
        <v>1.0</v>
      </c>
      <c r="AR74" s="2">
        <v>3.0</v>
      </c>
      <c r="AS74" s="2">
        <v>4.0</v>
      </c>
      <c r="AT74" s="2">
        <v>1.0</v>
      </c>
      <c r="AU74" s="2">
        <v>2.0</v>
      </c>
      <c r="AV74" s="2">
        <v>3.0</v>
      </c>
      <c r="AW74" s="2">
        <v>4.0</v>
      </c>
      <c r="AX74" s="2">
        <v>1.0</v>
      </c>
      <c r="AY74" s="2">
        <v>1.0</v>
      </c>
      <c r="AZ74" s="2">
        <v>1.0</v>
      </c>
      <c r="BA74" s="2">
        <v>5.0</v>
      </c>
      <c r="BB74" s="2">
        <v>1.0</v>
      </c>
      <c r="BC74" s="2">
        <v>2.0</v>
      </c>
      <c r="BD74" s="2">
        <v>3.0</v>
      </c>
      <c r="BE74" s="2">
        <v>5.0</v>
      </c>
      <c r="BF74" s="2">
        <v>1.0</v>
      </c>
      <c r="BG74" s="2">
        <v>1.0</v>
      </c>
      <c r="BH74" s="2">
        <v>1.0</v>
      </c>
      <c r="BI74" s="2">
        <v>1.0</v>
      </c>
      <c r="BJ74" s="2">
        <v>1.0</v>
      </c>
      <c r="BK74" s="2">
        <v>1.0</v>
      </c>
      <c r="BL74" s="2">
        <v>1.0</v>
      </c>
      <c r="BM74" s="2">
        <v>1.0</v>
      </c>
      <c r="BN74" s="2">
        <v>1.0</v>
      </c>
      <c r="BO74" s="2">
        <v>1.0</v>
      </c>
      <c r="BP74" s="2">
        <v>1.0</v>
      </c>
      <c r="BQ74" s="2" t="s">
        <v>390</v>
      </c>
      <c r="BR74" s="2" t="s">
        <v>391</v>
      </c>
      <c r="BS74" s="2" t="s">
        <v>392</v>
      </c>
      <c r="BT74" s="2" t="s">
        <v>393</v>
      </c>
      <c r="BU74" s="2" t="s">
        <v>394</v>
      </c>
      <c r="BV74" s="2" t="s">
        <v>395</v>
      </c>
      <c r="BW74" s="2" t="s">
        <v>33</v>
      </c>
      <c r="BX74" s="2" t="s">
        <v>33</v>
      </c>
      <c r="BY74" s="2" t="s">
        <v>33</v>
      </c>
      <c r="BZ74" s="2" t="s">
        <v>33</v>
      </c>
      <c r="CA74" s="2" t="s">
        <v>33</v>
      </c>
      <c r="CB74" s="2" t="s">
        <v>33</v>
      </c>
      <c r="CC74" s="3" t="s">
        <v>1959</v>
      </c>
      <c r="CD74" s="2">
        <v>5.0</v>
      </c>
      <c r="CE74" s="2" t="s">
        <v>794</v>
      </c>
      <c r="CF74" s="2" t="s">
        <v>952</v>
      </c>
      <c r="CG74" s="2" t="s">
        <v>1083</v>
      </c>
      <c r="CH74" s="2" t="s">
        <v>1019</v>
      </c>
      <c r="CI74" s="2" t="s">
        <v>999</v>
      </c>
      <c r="CJ74" s="2" t="s">
        <v>33</v>
      </c>
      <c r="CK74" s="2" t="s">
        <v>859</v>
      </c>
      <c r="CL74" s="2" t="s">
        <v>466</v>
      </c>
      <c r="CM74" s="4">
        <v>45676.0</v>
      </c>
      <c r="CN74" s="4">
        <v>45680.0</v>
      </c>
      <c r="CO74" s="2">
        <v>5.0</v>
      </c>
      <c r="CP74" s="2" t="s">
        <v>529</v>
      </c>
      <c r="CQ74" s="2" t="s">
        <v>369</v>
      </c>
      <c r="CR74" s="2" t="s">
        <v>442</v>
      </c>
      <c r="CS74" s="2" t="s">
        <v>529</v>
      </c>
      <c r="CT74" s="2" t="s">
        <v>368</v>
      </c>
      <c r="CU74" s="2" t="s">
        <v>762</v>
      </c>
    </row>
    <row r="75" ht="12.75" customHeight="1">
      <c r="A75" s="2">
        <v>74.0</v>
      </c>
      <c r="B75" s="2">
        <v>2.0</v>
      </c>
      <c r="C75" s="2" t="s">
        <v>358</v>
      </c>
      <c r="D75" s="2" t="s">
        <v>359</v>
      </c>
      <c r="E75" s="2" t="s">
        <v>360</v>
      </c>
      <c r="F75" s="2" t="s">
        <v>437</v>
      </c>
      <c r="G75" s="2" t="s">
        <v>437</v>
      </c>
      <c r="H75" s="2" t="s">
        <v>540</v>
      </c>
      <c r="I75" s="2" t="s">
        <v>859</v>
      </c>
      <c r="J75" s="2" t="s">
        <v>599</v>
      </c>
      <c r="K75" s="2" t="s">
        <v>366</v>
      </c>
      <c r="L75" s="2" t="s">
        <v>599</v>
      </c>
      <c r="M75" s="2" t="s">
        <v>645</v>
      </c>
      <c r="N75" s="2" t="s">
        <v>441</v>
      </c>
      <c r="O75" s="2" t="s">
        <v>442</v>
      </c>
      <c r="P75" s="2" t="s">
        <v>1026</v>
      </c>
      <c r="Q75" s="2" t="s">
        <v>480</v>
      </c>
      <c r="R75" s="2" t="s">
        <v>480</v>
      </c>
      <c r="S75" s="2" t="s">
        <v>378</v>
      </c>
      <c r="T75" s="2" t="s">
        <v>378</v>
      </c>
      <c r="U75" s="2" t="s">
        <v>378</v>
      </c>
      <c r="V75" s="2" t="s">
        <v>378</v>
      </c>
      <c r="W75" s="2" t="s">
        <v>444</v>
      </c>
      <c r="X75" s="2" t="s">
        <v>378</v>
      </c>
      <c r="Y75" s="2" t="s">
        <v>444</v>
      </c>
      <c r="Z75" s="2" t="s">
        <v>444</v>
      </c>
      <c r="AA75" s="2" t="s">
        <v>1031</v>
      </c>
      <c r="AB75" s="2" t="s">
        <v>1960</v>
      </c>
      <c r="AC75" s="2" t="s">
        <v>1094</v>
      </c>
      <c r="AD75" s="2" t="s">
        <v>388</v>
      </c>
      <c r="AE75" s="2" t="s">
        <v>455</v>
      </c>
      <c r="AF75" s="2" t="s">
        <v>33</v>
      </c>
      <c r="AG75" s="2" t="s">
        <v>33</v>
      </c>
      <c r="AH75" s="2" t="s">
        <v>33</v>
      </c>
      <c r="AI75" s="2" t="s">
        <v>33</v>
      </c>
      <c r="AJ75" s="2" t="s">
        <v>33</v>
      </c>
      <c r="AK75" s="2" t="s">
        <v>33</v>
      </c>
      <c r="AL75" s="2">
        <v>2.0</v>
      </c>
      <c r="AM75" s="2">
        <v>1.0</v>
      </c>
      <c r="AN75" s="2">
        <v>1.0</v>
      </c>
      <c r="AO75" s="2">
        <v>5.0</v>
      </c>
      <c r="AP75" s="2">
        <v>4.0</v>
      </c>
      <c r="AQ75" s="2">
        <v>1.0</v>
      </c>
      <c r="AR75" s="2">
        <v>2.0</v>
      </c>
      <c r="AS75" s="2">
        <v>3.0</v>
      </c>
      <c r="AT75" s="2">
        <v>1.0</v>
      </c>
      <c r="AU75" s="2">
        <v>4.0</v>
      </c>
      <c r="AV75" s="2">
        <v>5.0</v>
      </c>
      <c r="AW75" s="2">
        <v>5.0</v>
      </c>
      <c r="AX75" s="2">
        <v>1.0</v>
      </c>
      <c r="AY75" s="2">
        <v>1.0</v>
      </c>
      <c r="AZ75" s="2">
        <v>1.0</v>
      </c>
      <c r="BA75" s="2">
        <v>5.0</v>
      </c>
      <c r="BB75" s="2">
        <v>3.0</v>
      </c>
      <c r="BC75" s="2">
        <v>1.0</v>
      </c>
      <c r="BD75" s="2">
        <v>1.0</v>
      </c>
      <c r="BE75" s="2">
        <v>5.0</v>
      </c>
      <c r="BF75" s="2">
        <v>2.0</v>
      </c>
      <c r="BG75" s="2">
        <v>1.0</v>
      </c>
      <c r="BH75" s="2">
        <v>1.0</v>
      </c>
      <c r="BI75" s="2">
        <v>1.0</v>
      </c>
      <c r="BJ75" s="2">
        <v>1.0</v>
      </c>
      <c r="BK75" s="2">
        <v>3.0</v>
      </c>
      <c r="BL75" s="2">
        <v>2.0</v>
      </c>
      <c r="BM75" s="2">
        <v>1.0</v>
      </c>
      <c r="BN75" s="2">
        <v>4.0</v>
      </c>
      <c r="BO75" s="2">
        <v>1.0</v>
      </c>
      <c r="BP75" s="2">
        <v>5.0</v>
      </c>
      <c r="BQ75" s="2" t="s">
        <v>389</v>
      </c>
      <c r="BR75" s="2" t="s">
        <v>390</v>
      </c>
      <c r="BS75" s="2" t="s">
        <v>391</v>
      </c>
      <c r="BT75" s="2" t="s">
        <v>392</v>
      </c>
      <c r="BU75" s="2" t="s">
        <v>393</v>
      </c>
      <c r="BV75" s="2" t="s">
        <v>395</v>
      </c>
      <c r="BW75" s="2" t="s">
        <v>396</v>
      </c>
      <c r="BX75" s="2" t="s">
        <v>33</v>
      </c>
      <c r="BY75" s="2" t="s">
        <v>33</v>
      </c>
      <c r="BZ75" s="2" t="s">
        <v>33</v>
      </c>
      <c r="CA75" s="2" t="s">
        <v>33</v>
      </c>
      <c r="CB75" s="2" t="s">
        <v>33</v>
      </c>
      <c r="CC75" s="2" t="s">
        <v>1961</v>
      </c>
      <c r="CD75" s="2">
        <v>4.0</v>
      </c>
      <c r="CE75" s="2" t="s">
        <v>794</v>
      </c>
      <c r="CF75" s="2" t="s">
        <v>1172</v>
      </c>
      <c r="CG75" s="2" t="s">
        <v>952</v>
      </c>
      <c r="CH75" s="2" t="s">
        <v>33</v>
      </c>
      <c r="CI75" s="2" t="s">
        <v>33</v>
      </c>
      <c r="CJ75" s="2" t="s">
        <v>33</v>
      </c>
      <c r="CK75" s="2" t="s">
        <v>859</v>
      </c>
      <c r="CL75" s="2" t="s">
        <v>466</v>
      </c>
      <c r="CM75" s="4">
        <v>45668.0</v>
      </c>
      <c r="CN75" s="4">
        <v>45672.0</v>
      </c>
      <c r="CO75" s="2">
        <v>5.0</v>
      </c>
      <c r="CP75" s="2" t="s">
        <v>529</v>
      </c>
      <c r="CQ75" s="2" t="s">
        <v>441</v>
      </c>
      <c r="CR75" s="2" t="s">
        <v>442</v>
      </c>
      <c r="CS75" s="2" t="s">
        <v>529</v>
      </c>
      <c r="CT75" s="2" t="s">
        <v>645</v>
      </c>
      <c r="CU75" s="2" t="s">
        <v>1026</v>
      </c>
    </row>
    <row r="76" ht="12.75" customHeight="1">
      <c r="A76" s="2">
        <v>75.0</v>
      </c>
      <c r="B76" s="2">
        <v>1.0</v>
      </c>
      <c r="C76" s="2" t="s">
        <v>358</v>
      </c>
      <c r="D76" s="2" t="s">
        <v>359</v>
      </c>
      <c r="E76" s="2" t="s">
        <v>473</v>
      </c>
      <c r="F76" s="2" t="s">
        <v>437</v>
      </c>
      <c r="G76" s="2" t="s">
        <v>437</v>
      </c>
      <c r="H76" s="2" t="s">
        <v>362</v>
      </c>
      <c r="I76" s="2" t="s">
        <v>1962</v>
      </c>
      <c r="J76" s="2" t="s">
        <v>599</v>
      </c>
      <c r="K76" s="2" t="s">
        <v>366</v>
      </c>
      <c r="L76" s="2" t="s">
        <v>599</v>
      </c>
      <c r="M76" s="2" t="s">
        <v>368</v>
      </c>
      <c r="N76" s="2" t="s">
        <v>441</v>
      </c>
      <c r="O76" s="2" t="s">
        <v>442</v>
      </c>
      <c r="P76" s="2" t="s">
        <v>1026</v>
      </c>
      <c r="Q76" s="2" t="s">
        <v>480</v>
      </c>
      <c r="R76" s="2" t="s">
        <v>480</v>
      </c>
      <c r="S76" s="2" t="s">
        <v>444</v>
      </c>
      <c r="T76" s="2" t="s">
        <v>378</v>
      </c>
      <c r="U76" s="2" t="s">
        <v>378</v>
      </c>
      <c r="V76" s="2" t="s">
        <v>378</v>
      </c>
      <c r="W76" s="2" t="s">
        <v>444</v>
      </c>
      <c r="X76" s="2" t="s">
        <v>444</v>
      </c>
      <c r="Y76" s="2" t="s">
        <v>444</v>
      </c>
      <c r="Z76" s="2" t="s">
        <v>444</v>
      </c>
      <c r="AA76" s="2" t="s">
        <v>382</v>
      </c>
      <c r="AB76" s="2" t="s">
        <v>490</v>
      </c>
      <c r="AC76" s="2" t="s">
        <v>1094</v>
      </c>
      <c r="AD76" s="2" t="s">
        <v>388</v>
      </c>
      <c r="AE76" s="2" t="s">
        <v>33</v>
      </c>
      <c r="AF76" s="2" t="s">
        <v>33</v>
      </c>
      <c r="AG76" s="2" t="s">
        <v>33</v>
      </c>
      <c r="AH76" s="2" t="s">
        <v>33</v>
      </c>
      <c r="AI76" s="2" t="s">
        <v>33</v>
      </c>
      <c r="AJ76" s="2" t="s">
        <v>33</v>
      </c>
      <c r="AK76" s="2" t="s">
        <v>33</v>
      </c>
      <c r="AL76" s="2">
        <v>3.0</v>
      </c>
      <c r="AM76" s="2">
        <v>3.0</v>
      </c>
      <c r="AN76" s="2">
        <v>1.0</v>
      </c>
      <c r="AO76" s="2">
        <v>2.0</v>
      </c>
      <c r="AP76" s="2">
        <v>2.0</v>
      </c>
      <c r="AQ76" s="2">
        <v>1.0</v>
      </c>
      <c r="AR76" s="2">
        <v>4.0</v>
      </c>
      <c r="AS76" s="2">
        <v>3.0</v>
      </c>
      <c r="AT76" s="2">
        <v>3.0</v>
      </c>
      <c r="AU76" s="2">
        <v>1.0</v>
      </c>
      <c r="AV76" s="2">
        <v>2.0</v>
      </c>
      <c r="AW76" s="2">
        <v>2.0</v>
      </c>
      <c r="AX76" s="2">
        <v>1.0</v>
      </c>
      <c r="AY76" s="2">
        <v>3.0</v>
      </c>
      <c r="AZ76" s="2">
        <v>1.0</v>
      </c>
      <c r="BA76" s="2">
        <v>4.0</v>
      </c>
      <c r="BB76" s="2">
        <v>2.0</v>
      </c>
      <c r="BC76" s="2">
        <v>2.0</v>
      </c>
      <c r="BD76" s="2">
        <v>1.0</v>
      </c>
      <c r="BE76" s="2">
        <v>4.0</v>
      </c>
      <c r="BF76" s="2">
        <v>1.0</v>
      </c>
      <c r="BG76" s="2">
        <v>2.0</v>
      </c>
      <c r="BH76" s="2">
        <v>1.0</v>
      </c>
      <c r="BI76" s="2">
        <v>1.0</v>
      </c>
      <c r="BJ76" s="2">
        <v>1.0</v>
      </c>
      <c r="BK76" s="2">
        <v>1.0</v>
      </c>
      <c r="BL76" s="2">
        <v>2.0</v>
      </c>
      <c r="BM76" s="2">
        <v>1.0</v>
      </c>
      <c r="BN76" s="2">
        <v>3.0</v>
      </c>
      <c r="BO76" s="2">
        <v>1.0</v>
      </c>
      <c r="BP76" s="2">
        <v>2.0</v>
      </c>
      <c r="BQ76" s="2" t="s">
        <v>390</v>
      </c>
      <c r="BR76" s="2" t="s">
        <v>33</v>
      </c>
      <c r="BS76" s="2" t="s">
        <v>33</v>
      </c>
      <c r="BT76" s="2" t="s">
        <v>33</v>
      </c>
      <c r="BU76" s="2" t="s">
        <v>33</v>
      </c>
      <c r="BV76" s="2" t="s">
        <v>33</v>
      </c>
      <c r="BW76" s="2" t="s">
        <v>33</v>
      </c>
      <c r="BX76" s="2" t="s">
        <v>33</v>
      </c>
      <c r="BY76" s="2" t="s">
        <v>33</v>
      </c>
      <c r="BZ76" s="2" t="s">
        <v>33</v>
      </c>
      <c r="CA76" s="2" t="s">
        <v>33</v>
      </c>
      <c r="CB76" s="2" t="s">
        <v>33</v>
      </c>
      <c r="CC76" s="2" t="s">
        <v>1963</v>
      </c>
      <c r="CD76" s="2">
        <v>5.0</v>
      </c>
      <c r="CE76" s="2" t="s">
        <v>794</v>
      </c>
      <c r="CF76" s="2" t="s">
        <v>952</v>
      </c>
      <c r="CG76" s="2" t="s">
        <v>1083</v>
      </c>
      <c r="CH76" s="2" t="s">
        <v>999</v>
      </c>
      <c r="CI76" s="2" t="s">
        <v>33</v>
      </c>
      <c r="CJ76" s="2" t="s">
        <v>33</v>
      </c>
      <c r="CK76" s="2" t="s">
        <v>1962</v>
      </c>
      <c r="CL76" s="2" t="s">
        <v>466</v>
      </c>
      <c r="CM76" s="4">
        <v>45679.0</v>
      </c>
      <c r="CN76" s="4">
        <v>45682.0</v>
      </c>
      <c r="CO76" s="2">
        <v>4.0</v>
      </c>
      <c r="CP76" s="2" t="s">
        <v>529</v>
      </c>
      <c r="CQ76" s="2" t="s">
        <v>441</v>
      </c>
      <c r="CR76" s="2" t="s">
        <v>442</v>
      </c>
      <c r="CS76" s="2" t="s">
        <v>529</v>
      </c>
      <c r="CT76" s="2" t="s">
        <v>368</v>
      </c>
      <c r="CU76" s="2" t="s">
        <v>1026</v>
      </c>
    </row>
    <row r="77" ht="12.75" customHeight="1">
      <c r="A77" s="2">
        <v>76.0</v>
      </c>
      <c r="B77" s="2">
        <v>1.0</v>
      </c>
      <c r="C77" s="2" t="s">
        <v>358</v>
      </c>
      <c r="D77" s="2" t="s">
        <v>359</v>
      </c>
      <c r="E77" s="2" t="s">
        <v>473</v>
      </c>
      <c r="F77" s="2" t="s">
        <v>361</v>
      </c>
      <c r="G77" s="2" t="s">
        <v>361</v>
      </c>
      <c r="H77" s="2" t="s">
        <v>540</v>
      </c>
      <c r="I77" s="2" t="s">
        <v>859</v>
      </c>
      <c r="J77" s="2" t="s">
        <v>599</v>
      </c>
      <c r="K77" s="2" t="s">
        <v>366</v>
      </c>
      <c r="L77" s="2" t="s">
        <v>599</v>
      </c>
      <c r="M77" s="2" t="s">
        <v>368</v>
      </c>
      <c r="N77" s="2" t="s">
        <v>441</v>
      </c>
      <c r="O77" s="2" t="s">
        <v>370</v>
      </c>
      <c r="P77" s="2" t="s">
        <v>762</v>
      </c>
      <c r="Q77" s="2" t="s">
        <v>361</v>
      </c>
      <c r="R77" s="2" t="s">
        <v>361</v>
      </c>
      <c r="S77" s="2" t="s">
        <v>378</v>
      </c>
      <c r="T77" s="2" t="s">
        <v>378</v>
      </c>
      <c r="U77" s="2" t="s">
        <v>378</v>
      </c>
      <c r="V77" s="2" t="s">
        <v>378</v>
      </c>
      <c r="W77" s="2" t="s">
        <v>444</v>
      </c>
      <c r="X77" s="2" t="s">
        <v>444</v>
      </c>
      <c r="Y77" s="2" t="s">
        <v>378</v>
      </c>
      <c r="Z77" s="2" t="s">
        <v>376</v>
      </c>
      <c r="AA77" s="2" t="s">
        <v>382</v>
      </c>
      <c r="AB77" s="2" t="s">
        <v>551</v>
      </c>
      <c r="AC77" s="2" t="s">
        <v>450</v>
      </c>
      <c r="AD77" s="2" t="s">
        <v>451</v>
      </c>
      <c r="AE77" s="2" t="s">
        <v>452</v>
      </c>
      <c r="AF77" s="2" t="s">
        <v>386</v>
      </c>
      <c r="AG77" s="2" t="s">
        <v>387</v>
      </c>
      <c r="AH77" s="2" t="s">
        <v>388</v>
      </c>
      <c r="AI77" s="2" t="s">
        <v>455</v>
      </c>
      <c r="AJ77" s="2" t="s">
        <v>33</v>
      </c>
      <c r="AK77" s="2" t="s">
        <v>33</v>
      </c>
      <c r="AL77" s="2">
        <v>1.0</v>
      </c>
      <c r="AM77" s="2">
        <v>5.0</v>
      </c>
      <c r="AN77" s="2">
        <v>3.0</v>
      </c>
      <c r="AO77" s="2">
        <v>3.0</v>
      </c>
      <c r="AP77" s="2">
        <v>3.0</v>
      </c>
      <c r="AQ77" s="2">
        <v>1.0</v>
      </c>
      <c r="AR77" s="2">
        <v>4.0</v>
      </c>
      <c r="AS77" s="2">
        <v>4.0</v>
      </c>
      <c r="AT77" s="2">
        <v>4.0</v>
      </c>
      <c r="AU77" s="2">
        <v>2.0</v>
      </c>
      <c r="AV77" s="2">
        <v>2.0</v>
      </c>
      <c r="AW77" s="2">
        <v>3.0</v>
      </c>
      <c r="AX77" s="2">
        <v>1.0</v>
      </c>
      <c r="AY77" s="2">
        <v>3.0</v>
      </c>
      <c r="AZ77" s="2">
        <v>1.0</v>
      </c>
      <c r="BA77" s="2">
        <v>5.0</v>
      </c>
      <c r="BB77" s="2">
        <v>1.0</v>
      </c>
      <c r="BC77" s="2">
        <v>1.0</v>
      </c>
      <c r="BD77" s="2">
        <v>1.0</v>
      </c>
      <c r="BE77" s="2">
        <v>3.0</v>
      </c>
      <c r="BF77" s="2">
        <v>3.0</v>
      </c>
      <c r="BG77" s="2">
        <v>1.0</v>
      </c>
      <c r="BH77" s="2">
        <v>5.0</v>
      </c>
      <c r="BI77" s="2">
        <v>1.0</v>
      </c>
      <c r="BJ77" s="2">
        <v>5.0</v>
      </c>
      <c r="BK77" s="2">
        <v>1.0</v>
      </c>
      <c r="BL77" s="2">
        <v>1.0</v>
      </c>
      <c r="BM77" s="2">
        <v>1.0</v>
      </c>
      <c r="BN77" s="2">
        <v>3.0</v>
      </c>
      <c r="BO77" s="2">
        <v>1.0</v>
      </c>
      <c r="BP77" s="2">
        <v>1.0</v>
      </c>
      <c r="BQ77" s="2" t="s">
        <v>568</v>
      </c>
      <c r="BR77" s="2" t="s">
        <v>389</v>
      </c>
      <c r="BS77" s="2" t="s">
        <v>390</v>
      </c>
      <c r="BT77" s="2" t="s">
        <v>392</v>
      </c>
      <c r="BU77" s="2" t="s">
        <v>393</v>
      </c>
      <c r="BV77" s="2" t="s">
        <v>396</v>
      </c>
      <c r="BW77" s="2" t="s">
        <v>33</v>
      </c>
      <c r="BX77" s="2" t="s">
        <v>33</v>
      </c>
      <c r="BY77" s="2" t="s">
        <v>33</v>
      </c>
      <c r="BZ77" s="2" t="s">
        <v>33</v>
      </c>
      <c r="CA77" s="2" t="s">
        <v>33</v>
      </c>
      <c r="CB77" s="2" t="s">
        <v>33</v>
      </c>
      <c r="CC77" s="3" t="s">
        <v>1964</v>
      </c>
      <c r="CD77" s="2">
        <v>7.0</v>
      </c>
      <c r="CE77" s="2" t="s">
        <v>794</v>
      </c>
      <c r="CF77" s="2" t="s">
        <v>1172</v>
      </c>
      <c r="CG77" s="2" t="s">
        <v>952</v>
      </c>
      <c r="CH77" s="2" t="s">
        <v>1019</v>
      </c>
      <c r="CI77" s="2" t="s">
        <v>999</v>
      </c>
      <c r="CJ77" s="2" t="s">
        <v>33</v>
      </c>
      <c r="CK77" s="2" t="s">
        <v>859</v>
      </c>
      <c r="CL77" s="2" t="s">
        <v>466</v>
      </c>
      <c r="CM77" s="4">
        <v>45675.0</v>
      </c>
      <c r="CN77" s="4">
        <v>45685.0</v>
      </c>
      <c r="CO77" s="2">
        <v>11.0</v>
      </c>
      <c r="CP77" s="2" t="s">
        <v>434</v>
      </c>
      <c r="CQ77" s="2" t="s">
        <v>441</v>
      </c>
      <c r="CR77" s="2" t="s">
        <v>370</v>
      </c>
      <c r="CS77" s="2" t="s">
        <v>434</v>
      </c>
      <c r="CT77" s="2" t="s">
        <v>368</v>
      </c>
      <c r="CU77" s="2" t="s">
        <v>762</v>
      </c>
    </row>
    <row r="78" ht="12.75" customHeight="1">
      <c r="A78" s="2">
        <v>77.0</v>
      </c>
      <c r="B78" s="2">
        <v>4.0</v>
      </c>
      <c r="C78" s="2" t="s">
        <v>358</v>
      </c>
      <c r="D78" s="2" t="s">
        <v>359</v>
      </c>
      <c r="E78" s="2" t="s">
        <v>360</v>
      </c>
      <c r="F78" s="2" t="s">
        <v>539</v>
      </c>
      <c r="G78" s="2" t="s">
        <v>539</v>
      </c>
      <c r="H78" s="2" t="s">
        <v>540</v>
      </c>
      <c r="I78" s="2" t="s">
        <v>425</v>
      </c>
      <c r="J78" s="2" t="s">
        <v>365</v>
      </c>
      <c r="K78" s="2" t="s">
        <v>366</v>
      </c>
      <c r="L78" s="2" t="s">
        <v>367</v>
      </c>
      <c r="M78" s="2" t="s">
        <v>645</v>
      </c>
      <c r="N78" s="2" t="s">
        <v>441</v>
      </c>
      <c r="O78" s="2" t="s">
        <v>442</v>
      </c>
      <c r="P78" s="2" t="s">
        <v>372</v>
      </c>
      <c r="Q78" s="2" t="s">
        <v>480</v>
      </c>
      <c r="R78" s="2" t="s">
        <v>480</v>
      </c>
      <c r="S78" s="2" t="s">
        <v>378</v>
      </c>
      <c r="T78" s="2" t="s">
        <v>378</v>
      </c>
      <c r="U78" s="2" t="s">
        <v>376</v>
      </c>
      <c r="V78" s="2" t="s">
        <v>376</v>
      </c>
      <c r="W78" s="2" t="s">
        <v>444</v>
      </c>
      <c r="X78" s="2" t="s">
        <v>378</v>
      </c>
      <c r="Y78" s="2" t="s">
        <v>376</v>
      </c>
      <c r="Z78" s="2" t="s">
        <v>378</v>
      </c>
      <c r="AA78" s="2" t="s">
        <v>447</v>
      </c>
      <c r="AB78" s="2" t="s">
        <v>1960</v>
      </c>
      <c r="AC78" s="2" t="s">
        <v>450</v>
      </c>
      <c r="AD78" s="2" t="s">
        <v>386</v>
      </c>
      <c r="AE78" s="2" t="s">
        <v>387</v>
      </c>
      <c r="AF78" s="2" t="s">
        <v>454</v>
      </c>
      <c r="AG78" s="2" t="s">
        <v>455</v>
      </c>
      <c r="AH78" s="2" t="s">
        <v>33</v>
      </c>
      <c r="AI78" s="2" t="s">
        <v>33</v>
      </c>
      <c r="AJ78" s="2" t="s">
        <v>33</v>
      </c>
      <c r="AK78" s="2" t="s">
        <v>33</v>
      </c>
      <c r="AL78" s="2">
        <v>4.0</v>
      </c>
      <c r="AM78" s="2">
        <v>1.0</v>
      </c>
      <c r="AN78" s="2">
        <v>1.0</v>
      </c>
      <c r="AO78" s="2">
        <v>3.0</v>
      </c>
      <c r="AP78" s="2">
        <v>5.0</v>
      </c>
      <c r="AQ78" s="2">
        <v>3.0</v>
      </c>
      <c r="AR78" s="2">
        <v>1.0</v>
      </c>
      <c r="AS78" s="2">
        <v>4.0</v>
      </c>
      <c r="AT78" s="2">
        <v>2.0</v>
      </c>
      <c r="AU78" s="2">
        <v>4.0</v>
      </c>
      <c r="AV78" s="2">
        <v>5.0</v>
      </c>
      <c r="AW78" s="2">
        <v>3.0</v>
      </c>
      <c r="AX78" s="2">
        <v>3.0</v>
      </c>
      <c r="AY78" s="2">
        <v>3.0</v>
      </c>
      <c r="AZ78" s="2">
        <v>3.0</v>
      </c>
      <c r="BA78" s="2">
        <v>5.0</v>
      </c>
      <c r="BB78" s="2">
        <v>1.0</v>
      </c>
      <c r="BC78" s="2">
        <v>1.0</v>
      </c>
      <c r="BD78" s="2">
        <v>3.0</v>
      </c>
      <c r="BE78" s="2">
        <v>4.0</v>
      </c>
      <c r="BF78" s="2">
        <v>1.0</v>
      </c>
      <c r="BG78" s="2">
        <v>1.0</v>
      </c>
      <c r="BH78" s="2">
        <v>1.0</v>
      </c>
      <c r="BI78" s="2">
        <v>2.0</v>
      </c>
      <c r="BJ78" s="2">
        <v>1.0</v>
      </c>
      <c r="BK78" s="2">
        <v>1.0</v>
      </c>
      <c r="BL78" s="2">
        <v>1.0</v>
      </c>
      <c r="BM78" s="2">
        <v>1.0</v>
      </c>
      <c r="BN78" s="2">
        <v>5.0</v>
      </c>
      <c r="BO78" s="2">
        <v>1.0</v>
      </c>
      <c r="BP78" s="2">
        <v>2.0</v>
      </c>
      <c r="BQ78" s="2" t="s">
        <v>568</v>
      </c>
      <c r="BR78" s="2" t="s">
        <v>389</v>
      </c>
      <c r="BS78" s="2" t="s">
        <v>390</v>
      </c>
      <c r="BT78" s="2" t="s">
        <v>391</v>
      </c>
      <c r="BU78" s="2" t="s">
        <v>392</v>
      </c>
      <c r="BV78" s="2" t="s">
        <v>393</v>
      </c>
      <c r="BW78" s="2" t="s">
        <v>395</v>
      </c>
      <c r="BX78" s="2" t="s">
        <v>396</v>
      </c>
      <c r="BY78" s="2" t="s">
        <v>33</v>
      </c>
      <c r="BZ78" s="2" t="s">
        <v>33</v>
      </c>
      <c r="CA78" s="2" t="s">
        <v>33</v>
      </c>
      <c r="CB78" s="2" t="s">
        <v>33</v>
      </c>
      <c r="CC78" s="2" t="s">
        <v>1965</v>
      </c>
      <c r="CD78" s="2">
        <v>3.0</v>
      </c>
      <c r="CE78" s="2" t="s">
        <v>952</v>
      </c>
      <c r="CF78" s="2" t="s">
        <v>998</v>
      </c>
      <c r="CG78" s="2" t="s">
        <v>33</v>
      </c>
      <c r="CH78" s="2" t="s">
        <v>33</v>
      </c>
      <c r="CI78" s="2" t="s">
        <v>33</v>
      </c>
      <c r="CJ78" s="2" t="s">
        <v>33</v>
      </c>
      <c r="CK78" s="2" t="s">
        <v>425</v>
      </c>
      <c r="CL78" s="2" t="s">
        <v>367</v>
      </c>
      <c r="CM78" s="4">
        <v>45681.0</v>
      </c>
      <c r="CN78" s="4">
        <v>45684.0</v>
      </c>
      <c r="CO78" s="2">
        <v>4.0</v>
      </c>
      <c r="CP78" s="2" t="s">
        <v>529</v>
      </c>
      <c r="CQ78" s="2" t="s">
        <v>441</v>
      </c>
      <c r="CR78" s="2" t="s">
        <v>442</v>
      </c>
      <c r="CS78" s="2" t="s">
        <v>529</v>
      </c>
      <c r="CT78" s="2" t="s">
        <v>645</v>
      </c>
      <c r="CU78" s="2" t="s">
        <v>372</v>
      </c>
    </row>
    <row r="79" ht="12.75" customHeight="1">
      <c r="A79" s="2">
        <v>78.0</v>
      </c>
      <c r="B79" s="2">
        <v>2.0</v>
      </c>
      <c r="C79" s="2" t="s">
        <v>358</v>
      </c>
      <c r="D79" s="2" t="s">
        <v>359</v>
      </c>
      <c r="E79" s="2" t="s">
        <v>360</v>
      </c>
      <c r="F79" s="2" t="s">
        <v>437</v>
      </c>
      <c r="G79" s="2" t="s">
        <v>437</v>
      </c>
      <c r="H79" s="2" t="s">
        <v>540</v>
      </c>
      <c r="I79" s="2" t="s">
        <v>859</v>
      </c>
      <c r="J79" s="2" t="s">
        <v>599</v>
      </c>
      <c r="K79" s="2" t="s">
        <v>366</v>
      </c>
      <c r="L79" s="2" t="s">
        <v>599</v>
      </c>
      <c r="M79" s="2" t="s">
        <v>368</v>
      </c>
      <c r="N79" s="2" t="s">
        <v>441</v>
      </c>
      <c r="O79" s="2" t="s">
        <v>370</v>
      </c>
      <c r="P79" s="2" t="s">
        <v>372</v>
      </c>
      <c r="Q79" s="2" t="s">
        <v>480</v>
      </c>
      <c r="R79" s="2" t="s">
        <v>480</v>
      </c>
      <c r="S79" s="2" t="s">
        <v>444</v>
      </c>
      <c r="T79" s="2" t="s">
        <v>376</v>
      </c>
      <c r="U79" s="2" t="s">
        <v>376</v>
      </c>
      <c r="V79" s="2" t="s">
        <v>376</v>
      </c>
      <c r="W79" s="2" t="s">
        <v>444</v>
      </c>
      <c r="X79" s="2" t="s">
        <v>376</v>
      </c>
      <c r="Y79" s="2" t="s">
        <v>376</v>
      </c>
      <c r="Z79" s="2" t="s">
        <v>444</v>
      </c>
      <c r="AA79" s="2" t="s">
        <v>1031</v>
      </c>
      <c r="AB79" s="2" t="s">
        <v>651</v>
      </c>
      <c r="AC79" s="2" t="s">
        <v>450</v>
      </c>
      <c r="AD79" s="2" t="s">
        <v>451</v>
      </c>
      <c r="AE79" s="2" t="s">
        <v>387</v>
      </c>
      <c r="AF79" s="2" t="s">
        <v>388</v>
      </c>
      <c r="AG79" s="2" t="s">
        <v>454</v>
      </c>
      <c r="AH79" s="2" t="s">
        <v>455</v>
      </c>
      <c r="AI79" s="2" t="s">
        <v>33</v>
      </c>
      <c r="AJ79" s="2" t="s">
        <v>33</v>
      </c>
      <c r="AK79" s="2" t="s">
        <v>33</v>
      </c>
      <c r="AL79" s="2">
        <v>2.0</v>
      </c>
      <c r="AM79" s="2">
        <v>3.0</v>
      </c>
      <c r="AN79" s="2">
        <v>1.0</v>
      </c>
      <c r="AO79" s="2">
        <v>1.0</v>
      </c>
      <c r="AP79" s="2">
        <v>3.0</v>
      </c>
      <c r="AQ79" s="2">
        <v>1.0</v>
      </c>
      <c r="AR79" s="2">
        <v>2.0</v>
      </c>
      <c r="AS79" s="2">
        <v>3.0</v>
      </c>
      <c r="AT79" s="2">
        <v>2.0</v>
      </c>
      <c r="AU79" s="2">
        <v>2.0</v>
      </c>
      <c r="AV79" s="2">
        <v>4.0</v>
      </c>
      <c r="AW79" s="2">
        <v>2.0</v>
      </c>
      <c r="AX79" s="2">
        <v>2.0</v>
      </c>
      <c r="AY79" s="2">
        <v>3.0</v>
      </c>
      <c r="AZ79" s="2">
        <v>2.0</v>
      </c>
      <c r="BA79" s="2">
        <v>2.0</v>
      </c>
      <c r="BB79" s="2">
        <v>1.0</v>
      </c>
      <c r="BC79" s="2">
        <v>1.0</v>
      </c>
      <c r="BD79" s="2">
        <v>1.0</v>
      </c>
      <c r="BE79" s="2">
        <v>4.0</v>
      </c>
      <c r="BF79" s="2">
        <v>3.0</v>
      </c>
      <c r="BG79" s="2">
        <v>3.0</v>
      </c>
      <c r="BH79" s="2">
        <v>1.0</v>
      </c>
      <c r="BI79" s="2">
        <v>1.0</v>
      </c>
      <c r="BJ79" s="2">
        <v>1.0</v>
      </c>
      <c r="BK79" s="2">
        <v>1.0</v>
      </c>
      <c r="BL79" s="2">
        <v>1.0</v>
      </c>
      <c r="BM79" s="2">
        <v>1.0</v>
      </c>
      <c r="BN79" s="2">
        <v>5.0</v>
      </c>
      <c r="BO79" s="2">
        <v>1.0</v>
      </c>
      <c r="BP79" s="2">
        <v>1.0</v>
      </c>
      <c r="BQ79" s="2" t="s">
        <v>568</v>
      </c>
      <c r="BR79" s="2" t="s">
        <v>389</v>
      </c>
      <c r="BS79" s="2" t="s">
        <v>390</v>
      </c>
      <c r="BT79" s="2" t="s">
        <v>391</v>
      </c>
      <c r="BU79" s="2" t="s">
        <v>392</v>
      </c>
      <c r="BV79" s="2" t="s">
        <v>393</v>
      </c>
      <c r="BW79" s="2" t="s">
        <v>394</v>
      </c>
      <c r="BX79" s="2" t="s">
        <v>395</v>
      </c>
      <c r="BY79" s="2" t="s">
        <v>519</v>
      </c>
      <c r="BZ79" s="2" t="s">
        <v>396</v>
      </c>
      <c r="CA79" s="2" t="s">
        <v>573</v>
      </c>
      <c r="CB79" s="2" t="s">
        <v>730</v>
      </c>
      <c r="CC79" s="3" t="s">
        <v>1966</v>
      </c>
      <c r="CD79" s="2">
        <v>5.0</v>
      </c>
      <c r="CE79" s="2" t="s">
        <v>1967</v>
      </c>
      <c r="CF79" s="2" t="s">
        <v>899</v>
      </c>
      <c r="CG79" s="2" t="s">
        <v>1083</v>
      </c>
      <c r="CH79" s="2" t="s">
        <v>1019</v>
      </c>
      <c r="CI79" s="2" t="s">
        <v>999</v>
      </c>
      <c r="CJ79" s="2" t="s">
        <v>33</v>
      </c>
      <c r="CK79" s="2" t="s">
        <v>859</v>
      </c>
      <c r="CL79" s="2" t="s">
        <v>466</v>
      </c>
      <c r="CM79" s="4">
        <v>45680.0</v>
      </c>
      <c r="CN79" s="4">
        <v>45684.0</v>
      </c>
      <c r="CO79" s="2">
        <v>5.0</v>
      </c>
      <c r="CP79" s="2" t="s">
        <v>529</v>
      </c>
      <c r="CQ79" s="2" t="s">
        <v>441</v>
      </c>
      <c r="CR79" s="2" t="s">
        <v>370</v>
      </c>
      <c r="CS79" s="2" t="s">
        <v>529</v>
      </c>
      <c r="CT79" s="2" t="s">
        <v>368</v>
      </c>
      <c r="CU79" s="2" t="s">
        <v>372</v>
      </c>
    </row>
    <row r="80" ht="12.75" customHeight="1">
      <c r="A80" s="2">
        <v>79.0</v>
      </c>
      <c r="B80" s="2">
        <v>2.0</v>
      </c>
      <c r="C80" s="2" t="s">
        <v>358</v>
      </c>
      <c r="D80" s="2" t="s">
        <v>359</v>
      </c>
      <c r="E80" s="2" t="s">
        <v>360</v>
      </c>
      <c r="F80" s="2" t="s">
        <v>437</v>
      </c>
      <c r="G80" s="2" t="s">
        <v>437</v>
      </c>
      <c r="H80" s="2" t="s">
        <v>540</v>
      </c>
      <c r="I80" s="2" t="s">
        <v>859</v>
      </c>
      <c r="J80" s="2" t="s">
        <v>599</v>
      </c>
      <c r="K80" s="2" t="s">
        <v>366</v>
      </c>
      <c r="L80" s="2" t="s">
        <v>599</v>
      </c>
      <c r="M80" s="2" t="s">
        <v>645</v>
      </c>
      <c r="N80" s="2" t="s">
        <v>441</v>
      </c>
      <c r="O80" s="2" t="s">
        <v>442</v>
      </c>
      <c r="P80" s="2" t="s">
        <v>1026</v>
      </c>
      <c r="Q80" s="2" t="s">
        <v>480</v>
      </c>
      <c r="R80" s="2" t="s">
        <v>480</v>
      </c>
      <c r="S80" s="2" t="s">
        <v>378</v>
      </c>
      <c r="T80" s="2" t="s">
        <v>378</v>
      </c>
      <c r="U80" s="2" t="s">
        <v>378</v>
      </c>
      <c r="V80" s="2" t="s">
        <v>378</v>
      </c>
      <c r="W80" s="2" t="s">
        <v>444</v>
      </c>
      <c r="X80" s="2" t="s">
        <v>378</v>
      </c>
      <c r="Y80" s="2" t="s">
        <v>444</v>
      </c>
      <c r="Z80" s="2" t="s">
        <v>444</v>
      </c>
      <c r="AA80" s="2" t="s">
        <v>382</v>
      </c>
      <c r="AB80" s="2" t="s">
        <v>551</v>
      </c>
      <c r="AC80" s="2" t="s">
        <v>450</v>
      </c>
      <c r="AD80" s="2" t="s">
        <v>452</v>
      </c>
      <c r="AE80" s="2" t="s">
        <v>387</v>
      </c>
      <c r="AF80" s="2" t="s">
        <v>388</v>
      </c>
      <c r="AG80" s="2" t="s">
        <v>455</v>
      </c>
      <c r="AH80" s="2" t="s">
        <v>33</v>
      </c>
      <c r="AI80" s="2" t="s">
        <v>33</v>
      </c>
      <c r="AJ80" s="2" t="s">
        <v>33</v>
      </c>
      <c r="AK80" s="2" t="s">
        <v>33</v>
      </c>
      <c r="AL80" s="2">
        <v>3.0</v>
      </c>
      <c r="AM80" s="2">
        <v>3.0</v>
      </c>
      <c r="AN80" s="2">
        <v>1.0</v>
      </c>
      <c r="AO80" s="2">
        <v>2.0</v>
      </c>
      <c r="AP80" s="2">
        <v>2.0</v>
      </c>
      <c r="AQ80" s="2">
        <v>1.0</v>
      </c>
      <c r="AR80" s="2">
        <v>5.0</v>
      </c>
      <c r="AS80" s="2">
        <v>3.0</v>
      </c>
      <c r="AT80" s="2">
        <v>4.0</v>
      </c>
      <c r="AU80" s="2">
        <v>1.0</v>
      </c>
      <c r="AV80" s="2">
        <v>5.0</v>
      </c>
      <c r="AW80" s="2">
        <v>4.0</v>
      </c>
      <c r="AX80" s="2">
        <v>1.0</v>
      </c>
      <c r="AY80" s="2">
        <v>3.0</v>
      </c>
      <c r="AZ80" s="2">
        <v>1.0</v>
      </c>
      <c r="BA80" s="2">
        <v>3.0</v>
      </c>
      <c r="BB80" s="2">
        <v>1.0</v>
      </c>
      <c r="BC80" s="2">
        <v>2.0</v>
      </c>
      <c r="BD80" s="2">
        <v>2.0</v>
      </c>
      <c r="BE80" s="2">
        <v>5.0</v>
      </c>
      <c r="BF80" s="2">
        <v>2.0</v>
      </c>
      <c r="BG80" s="2">
        <v>2.0</v>
      </c>
      <c r="BH80" s="2">
        <v>1.0</v>
      </c>
      <c r="BI80" s="2">
        <v>1.0</v>
      </c>
      <c r="BJ80" s="2">
        <v>1.0</v>
      </c>
      <c r="BK80" s="2">
        <v>1.0</v>
      </c>
      <c r="BL80" s="2">
        <v>1.0</v>
      </c>
      <c r="BM80" s="2">
        <v>1.0</v>
      </c>
      <c r="BN80" s="2">
        <v>3.0</v>
      </c>
      <c r="BO80" s="2">
        <v>1.0</v>
      </c>
      <c r="BP80" s="2">
        <v>2.0</v>
      </c>
      <c r="BQ80" s="2" t="s">
        <v>389</v>
      </c>
      <c r="BR80" s="2" t="s">
        <v>390</v>
      </c>
      <c r="BS80" s="2" t="s">
        <v>391</v>
      </c>
      <c r="BT80" s="2" t="s">
        <v>392</v>
      </c>
      <c r="BU80" s="2" t="s">
        <v>393</v>
      </c>
      <c r="BV80" s="2" t="s">
        <v>396</v>
      </c>
      <c r="BW80" s="2" t="s">
        <v>33</v>
      </c>
      <c r="BX80" s="2" t="s">
        <v>33</v>
      </c>
      <c r="BY80" s="2" t="s">
        <v>33</v>
      </c>
      <c r="BZ80" s="2" t="s">
        <v>33</v>
      </c>
      <c r="CA80" s="2" t="s">
        <v>33</v>
      </c>
      <c r="CB80" s="2" t="s">
        <v>33</v>
      </c>
      <c r="CC80" s="2" t="s">
        <v>1968</v>
      </c>
      <c r="CD80" s="2">
        <v>4.0</v>
      </c>
      <c r="CE80" s="2" t="s">
        <v>899</v>
      </c>
      <c r="CF80" s="2" t="s">
        <v>1083</v>
      </c>
      <c r="CG80" s="2" t="s">
        <v>1019</v>
      </c>
      <c r="CH80" s="2" t="s">
        <v>999</v>
      </c>
      <c r="CI80" s="2" t="s">
        <v>33</v>
      </c>
      <c r="CJ80" s="2" t="s">
        <v>33</v>
      </c>
      <c r="CK80" s="2" t="s">
        <v>859</v>
      </c>
      <c r="CL80" s="2" t="s">
        <v>466</v>
      </c>
      <c r="CM80" s="2" t="s">
        <v>33</v>
      </c>
      <c r="CN80" s="2" t="s">
        <v>33</v>
      </c>
      <c r="CO80" s="2" t="s">
        <v>33</v>
      </c>
      <c r="CP80" s="2" t="s">
        <v>529</v>
      </c>
      <c r="CQ80" s="2" t="s">
        <v>441</v>
      </c>
      <c r="CR80" s="2" t="s">
        <v>442</v>
      </c>
      <c r="CS80" s="2" t="s">
        <v>529</v>
      </c>
      <c r="CT80" s="2" t="s">
        <v>645</v>
      </c>
      <c r="CU80" s="2" t="s">
        <v>1026</v>
      </c>
    </row>
    <row r="81" ht="12.75" customHeight="1">
      <c r="A81" s="2">
        <v>80.0</v>
      </c>
      <c r="B81" s="2">
        <v>2.0</v>
      </c>
      <c r="C81" s="2" t="s">
        <v>358</v>
      </c>
      <c r="D81" s="2" t="s">
        <v>359</v>
      </c>
      <c r="E81" s="2" t="s">
        <v>360</v>
      </c>
      <c r="F81" s="2" t="s">
        <v>539</v>
      </c>
      <c r="G81" s="2" t="s">
        <v>539</v>
      </c>
      <c r="H81" s="2" t="s">
        <v>362</v>
      </c>
      <c r="I81" s="2" t="s">
        <v>425</v>
      </c>
      <c r="J81" s="2" t="s">
        <v>365</v>
      </c>
      <c r="K81" s="2" t="s">
        <v>366</v>
      </c>
      <c r="L81" s="2" t="s">
        <v>367</v>
      </c>
      <c r="M81" s="2" t="s">
        <v>645</v>
      </c>
      <c r="N81" s="2" t="s">
        <v>369</v>
      </c>
      <c r="O81" s="2" t="s">
        <v>442</v>
      </c>
      <c r="P81" s="2" t="s">
        <v>372</v>
      </c>
      <c r="Q81" s="2" t="s">
        <v>480</v>
      </c>
      <c r="R81" s="2" t="s">
        <v>480</v>
      </c>
      <c r="S81" s="2" t="s">
        <v>376</v>
      </c>
      <c r="T81" s="2" t="s">
        <v>376</v>
      </c>
      <c r="U81" s="2" t="s">
        <v>378</v>
      </c>
      <c r="V81" s="2" t="s">
        <v>378</v>
      </c>
      <c r="W81" s="2" t="s">
        <v>378</v>
      </c>
      <c r="X81" s="2" t="s">
        <v>444</v>
      </c>
      <c r="Y81" s="2" t="s">
        <v>378</v>
      </c>
      <c r="Z81" s="2" t="s">
        <v>376</v>
      </c>
      <c r="AA81" s="2" t="s">
        <v>382</v>
      </c>
      <c r="AB81" s="2" t="s">
        <v>359</v>
      </c>
      <c r="AC81" s="2" t="s">
        <v>450</v>
      </c>
      <c r="AD81" s="2" t="s">
        <v>451</v>
      </c>
      <c r="AE81" s="2" t="s">
        <v>452</v>
      </c>
      <c r="AF81" s="2" t="s">
        <v>387</v>
      </c>
      <c r="AG81" s="2" t="s">
        <v>388</v>
      </c>
      <c r="AH81" s="2" t="s">
        <v>454</v>
      </c>
      <c r="AI81" s="2" t="s">
        <v>455</v>
      </c>
      <c r="AJ81" s="2" t="s">
        <v>33</v>
      </c>
      <c r="AK81" s="2" t="s">
        <v>33</v>
      </c>
      <c r="AL81" s="2">
        <v>3.0</v>
      </c>
      <c r="AM81" s="2">
        <v>3.0</v>
      </c>
      <c r="AN81" s="2">
        <v>2.0</v>
      </c>
      <c r="AO81" s="2">
        <v>2.0</v>
      </c>
      <c r="AP81" s="2">
        <v>2.0</v>
      </c>
      <c r="AQ81" s="2">
        <v>1.0</v>
      </c>
      <c r="AR81" s="2">
        <v>1.0</v>
      </c>
      <c r="AS81" s="2">
        <v>1.0</v>
      </c>
      <c r="AT81" s="2">
        <v>1.0</v>
      </c>
      <c r="AU81" s="2">
        <v>4.0</v>
      </c>
      <c r="AV81" s="2">
        <v>5.0</v>
      </c>
      <c r="AW81" s="2">
        <v>5.0</v>
      </c>
      <c r="AX81" s="2">
        <v>1.0</v>
      </c>
      <c r="AY81" s="2">
        <v>5.0</v>
      </c>
      <c r="AZ81" s="2">
        <v>1.0</v>
      </c>
      <c r="BA81" s="2">
        <v>5.0</v>
      </c>
      <c r="BB81" s="2">
        <v>1.0</v>
      </c>
      <c r="BC81" s="2">
        <v>5.0</v>
      </c>
      <c r="BD81" s="2">
        <v>1.0</v>
      </c>
      <c r="BE81" s="2">
        <v>4.0</v>
      </c>
      <c r="BF81" s="2">
        <v>1.0</v>
      </c>
      <c r="BG81" s="2">
        <v>1.0</v>
      </c>
      <c r="BH81" s="2">
        <v>1.0</v>
      </c>
      <c r="BI81" s="2">
        <v>1.0</v>
      </c>
      <c r="BJ81" s="2">
        <v>1.0</v>
      </c>
      <c r="BK81" s="2">
        <v>1.0</v>
      </c>
      <c r="BL81" s="2">
        <v>1.0</v>
      </c>
      <c r="BM81" s="2">
        <v>1.0</v>
      </c>
      <c r="BN81" s="2">
        <v>5.0</v>
      </c>
      <c r="BO81" s="2">
        <v>1.0</v>
      </c>
      <c r="BP81" s="2">
        <v>1.0</v>
      </c>
      <c r="BQ81" s="2" t="s">
        <v>568</v>
      </c>
      <c r="BR81" s="2" t="s">
        <v>389</v>
      </c>
      <c r="BS81" s="2" t="s">
        <v>390</v>
      </c>
      <c r="BT81" s="2" t="s">
        <v>391</v>
      </c>
      <c r="BU81" s="2" t="s">
        <v>392</v>
      </c>
      <c r="BV81" s="2" t="s">
        <v>393</v>
      </c>
      <c r="BW81" s="2" t="s">
        <v>394</v>
      </c>
      <c r="BX81" s="2" t="s">
        <v>395</v>
      </c>
      <c r="BY81" s="2" t="s">
        <v>396</v>
      </c>
      <c r="BZ81" s="2" t="s">
        <v>573</v>
      </c>
      <c r="CA81" s="2" t="s">
        <v>33</v>
      </c>
      <c r="CB81" s="2" t="s">
        <v>33</v>
      </c>
      <c r="CC81" s="2" t="s">
        <v>1969</v>
      </c>
      <c r="CD81" s="2">
        <v>3.0</v>
      </c>
      <c r="CE81" s="2" t="s">
        <v>899</v>
      </c>
      <c r="CF81" s="2" t="s">
        <v>998</v>
      </c>
      <c r="CG81" s="2" t="s">
        <v>999</v>
      </c>
      <c r="CH81" s="2" t="s">
        <v>33</v>
      </c>
      <c r="CI81" s="2" t="s">
        <v>33</v>
      </c>
      <c r="CJ81" s="2" t="s">
        <v>33</v>
      </c>
      <c r="CK81" s="2" t="s">
        <v>425</v>
      </c>
      <c r="CL81" s="2" t="s">
        <v>367</v>
      </c>
      <c r="CM81" s="4">
        <v>45685.0</v>
      </c>
      <c r="CN81" s="4">
        <v>45688.0</v>
      </c>
      <c r="CO81" s="2">
        <v>4.0</v>
      </c>
      <c r="CP81" s="2" t="s">
        <v>529</v>
      </c>
      <c r="CQ81" s="2" t="s">
        <v>369</v>
      </c>
      <c r="CR81" s="2" t="s">
        <v>442</v>
      </c>
      <c r="CS81" s="2" t="s">
        <v>529</v>
      </c>
      <c r="CT81" s="2" t="s">
        <v>645</v>
      </c>
      <c r="CU81" s="2" t="s">
        <v>372</v>
      </c>
    </row>
    <row r="82" ht="12.75" customHeight="1">
      <c r="A82" s="2">
        <v>81.0</v>
      </c>
      <c r="B82" s="2">
        <v>3.0</v>
      </c>
      <c r="C82" s="2" t="s">
        <v>358</v>
      </c>
      <c r="D82" s="2" t="s">
        <v>359</v>
      </c>
      <c r="E82" s="2" t="s">
        <v>473</v>
      </c>
      <c r="F82" s="2" t="s">
        <v>443</v>
      </c>
      <c r="G82" s="2" t="s">
        <v>443</v>
      </c>
      <c r="H82" s="2" t="s">
        <v>362</v>
      </c>
      <c r="I82" s="2" t="s">
        <v>1744</v>
      </c>
      <c r="J82" s="2" t="s">
        <v>599</v>
      </c>
      <c r="K82" s="2" t="s">
        <v>366</v>
      </c>
      <c r="L82" s="2" t="s">
        <v>599</v>
      </c>
      <c r="M82" s="2" t="s">
        <v>368</v>
      </c>
      <c r="N82" s="2" t="s">
        <v>802</v>
      </c>
      <c r="O82" s="2" t="s">
        <v>370</v>
      </c>
      <c r="P82" s="2" t="s">
        <v>372</v>
      </c>
      <c r="Q82" s="2" t="s">
        <v>443</v>
      </c>
      <c r="R82" s="2" t="s">
        <v>443</v>
      </c>
      <c r="S82" s="2" t="s">
        <v>378</v>
      </c>
      <c r="T82" s="2" t="s">
        <v>378</v>
      </c>
      <c r="U82" s="2" t="s">
        <v>378</v>
      </c>
      <c r="V82" s="2" t="s">
        <v>378</v>
      </c>
      <c r="W82" s="2" t="s">
        <v>444</v>
      </c>
      <c r="X82" s="2" t="s">
        <v>444</v>
      </c>
      <c r="Y82" s="2" t="s">
        <v>444</v>
      </c>
      <c r="Z82" s="2" t="s">
        <v>378</v>
      </c>
      <c r="AA82" s="2" t="s">
        <v>447</v>
      </c>
      <c r="AB82" s="2" t="s">
        <v>551</v>
      </c>
      <c r="AC82" s="2" t="s">
        <v>385</v>
      </c>
      <c r="AD82" s="2" t="s">
        <v>388</v>
      </c>
      <c r="AE82" s="2" t="s">
        <v>454</v>
      </c>
      <c r="AF82" s="2" t="s">
        <v>455</v>
      </c>
      <c r="AG82" s="2" t="s">
        <v>33</v>
      </c>
      <c r="AH82" s="2" t="s">
        <v>33</v>
      </c>
      <c r="AI82" s="2" t="s">
        <v>33</v>
      </c>
      <c r="AJ82" s="2" t="s">
        <v>33</v>
      </c>
      <c r="AK82" s="2" t="s">
        <v>33</v>
      </c>
      <c r="AL82" s="2">
        <v>5.0</v>
      </c>
      <c r="AM82" s="2">
        <v>5.0</v>
      </c>
      <c r="AN82" s="2">
        <v>1.0</v>
      </c>
      <c r="AO82" s="2">
        <v>3.0</v>
      </c>
      <c r="AP82" s="2">
        <v>3.0</v>
      </c>
      <c r="AQ82" s="2">
        <v>1.0</v>
      </c>
      <c r="AR82" s="2">
        <v>2.0</v>
      </c>
      <c r="AS82" s="2">
        <v>3.0</v>
      </c>
      <c r="AT82" s="2">
        <v>1.0</v>
      </c>
      <c r="AU82" s="2">
        <v>1.0</v>
      </c>
      <c r="AV82" s="2">
        <v>2.0</v>
      </c>
      <c r="AW82" s="2">
        <v>1.0</v>
      </c>
      <c r="AX82" s="2">
        <v>3.0</v>
      </c>
      <c r="AY82" s="2">
        <v>5.0</v>
      </c>
      <c r="AZ82" s="2">
        <v>1.0</v>
      </c>
      <c r="BA82" s="2">
        <v>5.0</v>
      </c>
      <c r="BB82" s="2">
        <v>1.0</v>
      </c>
      <c r="BC82" s="2">
        <v>2.0</v>
      </c>
      <c r="BD82" s="2">
        <v>5.0</v>
      </c>
      <c r="BE82" s="2">
        <v>5.0</v>
      </c>
      <c r="BF82" s="2">
        <v>1.0</v>
      </c>
      <c r="BG82" s="2">
        <v>1.0</v>
      </c>
      <c r="BH82" s="2">
        <v>1.0</v>
      </c>
      <c r="BI82" s="2">
        <v>1.0</v>
      </c>
      <c r="BJ82" s="2">
        <v>1.0</v>
      </c>
      <c r="BK82" s="2">
        <v>1.0</v>
      </c>
      <c r="BL82" s="2">
        <v>1.0</v>
      </c>
      <c r="BM82" s="2">
        <v>1.0</v>
      </c>
      <c r="BN82" s="2">
        <v>5.0</v>
      </c>
      <c r="BO82" s="2">
        <v>1.0</v>
      </c>
      <c r="BP82" s="2">
        <v>1.0</v>
      </c>
      <c r="BQ82" s="2" t="s">
        <v>389</v>
      </c>
      <c r="BR82" s="2" t="s">
        <v>390</v>
      </c>
      <c r="BS82" s="2" t="s">
        <v>391</v>
      </c>
      <c r="BT82" s="2" t="s">
        <v>392</v>
      </c>
      <c r="BU82" s="2" t="s">
        <v>393</v>
      </c>
      <c r="BV82" s="2" t="s">
        <v>396</v>
      </c>
      <c r="BW82" s="2" t="s">
        <v>33</v>
      </c>
      <c r="BX82" s="2" t="s">
        <v>33</v>
      </c>
      <c r="BY82" s="2" t="s">
        <v>33</v>
      </c>
      <c r="BZ82" s="2" t="s">
        <v>33</v>
      </c>
      <c r="CA82" s="2" t="s">
        <v>33</v>
      </c>
      <c r="CB82" s="2" t="s">
        <v>33</v>
      </c>
      <c r="CC82" s="2" t="s">
        <v>1970</v>
      </c>
      <c r="CD82" s="2">
        <v>4.0</v>
      </c>
      <c r="CE82" s="2" t="s">
        <v>1172</v>
      </c>
      <c r="CF82" s="2" t="s">
        <v>1083</v>
      </c>
      <c r="CG82" s="2" t="s">
        <v>999</v>
      </c>
      <c r="CH82" s="2" t="s">
        <v>33</v>
      </c>
      <c r="CI82" s="2" t="s">
        <v>33</v>
      </c>
      <c r="CJ82" s="2" t="s">
        <v>33</v>
      </c>
      <c r="CK82" s="2" t="s">
        <v>1744</v>
      </c>
      <c r="CL82" s="2" t="s">
        <v>466</v>
      </c>
      <c r="CM82" s="2" t="s">
        <v>33</v>
      </c>
      <c r="CN82" s="2" t="s">
        <v>33</v>
      </c>
      <c r="CO82" s="2" t="s">
        <v>33</v>
      </c>
      <c r="CP82" s="2" t="s">
        <v>434</v>
      </c>
      <c r="CQ82" s="2" t="s">
        <v>802</v>
      </c>
      <c r="CR82" s="2" t="s">
        <v>370</v>
      </c>
      <c r="CS82" s="2" t="s">
        <v>434</v>
      </c>
      <c r="CT82" s="2" t="s">
        <v>368</v>
      </c>
      <c r="CU82" s="2" t="s">
        <v>372</v>
      </c>
    </row>
    <row r="83" ht="12.75" customHeight="1">
      <c r="A83" s="2">
        <v>82.0</v>
      </c>
      <c r="B83" s="2">
        <v>2.0</v>
      </c>
      <c r="C83" s="2" t="s">
        <v>358</v>
      </c>
      <c r="D83" s="2" t="s">
        <v>359</v>
      </c>
      <c r="E83" s="2" t="s">
        <v>473</v>
      </c>
      <c r="F83" s="2" t="s">
        <v>437</v>
      </c>
      <c r="G83" s="2" t="s">
        <v>437</v>
      </c>
      <c r="H83" s="2" t="s">
        <v>540</v>
      </c>
      <c r="I83" s="2" t="s">
        <v>1971</v>
      </c>
      <c r="J83" s="2" t="s">
        <v>599</v>
      </c>
      <c r="K83" s="2" t="s">
        <v>366</v>
      </c>
      <c r="L83" s="2" t="s">
        <v>599</v>
      </c>
      <c r="M83" s="2" t="s">
        <v>368</v>
      </c>
      <c r="N83" s="2" t="s">
        <v>1025</v>
      </c>
      <c r="O83" s="2" t="s">
        <v>442</v>
      </c>
      <c r="P83" s="2" t="s">
        <v>1026</v>
      </c>
      <c r="Q83" s="2" t="s">
        <v>480</v>
      </c>
      <c r="R83" s="2" t="s">
        <v>480</v>
      </c>
      <c r="S83" s="2" t="s">
        <v>378</v>
      </c>
      <c r="T83" s="2" t="s">
        <v>444</v>
      </c>
      <c r="U83" s="2" t="s">
        <v>378</v>
      </c>
      <c r="V83" s="2" t="s">
        <v>378</v>
      </c>
      <c r="W83" s="2" t="s">
        <v>444</v>
      </c>
      <c r="X83" s="2" t="s">
        <v>444</v>
      </c>
      <c r="Y83" s="2" t="s">
        <v>444</v>
      </c>
      <c r="Z83" s="2" t="s">
        <v>444</v>
      </c>
      <c r="AA83" s="2" t="s">
        <v>1031</v>
      </c>
      <c r="AB83" s="2" t="s">
        <v>359</v>
      </c>
      <c r="AC83" s="2" t="s">
        <v>385</v>
      </c>
      <c r="AD83" s="2" t="s">
        <v>386</v>
      </c>
      <c r="AE83" s="2" t="s">
        <v>387</v>
      </c>
      <c r="AF83" s="2" t="s">
        <v>388</v>
      </c>
      <c r="AG83" s="2" t="s">
        <v>455</v>
      </c>
      <c r="AH83" s="2" t="s">
        <v>33</v>
      </c>
      <c r="AI83" s="2" t="s">
        <v>33</v>
      </c>
      <c r="AJ83" s="2" t="s">
        <v>33</v>
      </c>
      <c r="AK83" s="2" t="s">
        <v>33</v>
      </c>
      <c r="AL83" s="2">
        <v>3.0</v>
      </c>
      <c r="AM83" s="2">
        <v>5.0</v>
      </c>
      <c r="AN83" s="2">
        <v>2.0</v>
      </c>
      <c r="AO83" s="2">
        <v>3.0</v>
      </c>
      <c r="AP83" s="2">
        <v>3.0</v>
      </c>
      <c r="AQ83" s="2">
        <v>2.0</v>
      </c>
      <c r="AR83" s="2">
        <v>3.0</v>
      </c>
      <c r="AS83" s="2">
        <v>4.0</v>
      </c>
      <c r="AT83" s="2">
        <v>4.0</v>
      </c>
      <c r="AU83" s="2">
        <v>1.0</v>
      </c>
      <c r="AV83" s="2">
        <v>5.0</v>
      </c>
      <c r="AW83" s="2">
        <v>5.0</v>
      </c>
      <c r="AX83" s="2">
        <v>1.0</v>
      </c>
      <c r="AY83" s="2">
        <v>2.0</v>
      </c>
      <c r="AZ83" s="2">
        <v>2.0</v>
      </c>
      <c r="BA83" s="2">
        <v>5.0</v>
      </c>
      <c r="BB83" s="2">
        <v>1.0</v>
      </c>
      <c r="BC83" s="2">
        <v>2.0</v>
      </c>
      <c r="BD83" s="2">
        <v>3.0</v>
      </c>
      <c r="BE83" s="2">
        <v>5.0</v>
      </c>
      <c r="BF83" s="2">
        <v>1.0</v>
      </c>
      <c r="BG83" s="2">
        <v>1.0</v>
      </c>
      <c r="BH83" s="2">
        <v>1.0</v>
      </c>
      <c r="BI83" s="2">
        <v>1.0</v>
      </c>
      <c r="BJ83" s="2">
        <v>1.0</v>
      </c>
      <c r="BK83" s="2">
        <v>1.0</v>
      </c>
      <c r="BL83" s="2">
        <v>1.0</v>
      </c>
      <c r="BM83" s="2">
        <v>1.0</v>
      </c>
      <c r="BN83" s="2">
        <v>1.0</v>
      </c>
      <c r="BO83" s="2">
        <v>1.0</v>
      </c>
      <c r="BP83" s="2">
        <v>1.0</v>
      </c>
      <c r="BQ83" s="2" t="s">
        <v>389</v>
      </c>
      <c r="BR83" s="2" t="s">
        <v>390</v>
      </c>
      <c r="BS83" s="2" t="s">
        <v>391</v>
      </c>
      <c r="BT83" s="2" t="s">
        <v>393</v>
      </c>
      <c r="BU83" s="2" t="s">
        <v>394</v>
      </c>
      <c r="BV83" s="2" t="s">
        <v>396</v>
      </c>
      <c r="BW83" s="2" t="s">
        <v>33</v>
      </c>
      <c r="BX83" s="2" t="s">
        <v>33</v>
      </c>
      <c r="BY83" s="2" t="s">
        <v>33</v>
      </c>
      <c r="BZ83" s="2" t="s">
        <v>33</v>
      </c>
      <c r="CA83" s="2" t="s">
        <v>33</v>
      </c>
      <c r="CB83" s="2" t="s">
        <v>33</v>
      </c>
      <c r="CC83" s="2" t="s">
        <v>1972</v>
      </c>
      <c r="CD83" s="2">
        <v>5.0</v>
      </c>
      <c r="CE83" s="2" t="s">
        <v>794</v>
      </c>
      <c r="CF83" s="2" t="s">
        <v>952</v>
      </c>
      <c r="CG83" s="2" t="s">
        <v>1019</v>
      </c>
      <c r="CH83" s="2" t="s">
        <v>999</v>
      </c>
      <c r="CI83" s="2" t="s">
        <v>33</v>
      </c>
      <c r="CJ83" s="2" t="s">
        <v>33</v>
      </c>
      <c r="CK83" s="2" t="s">
        <v>1971</v>
      </c>
      <c r="CL83" s="2" t="s">
        <v>466</v>
      </c>
      <c r="CM83" s="4">
        <v>45679.0</v>
      </c>
      <c r="CN83" s="4">
        <v>45682.0</v>
      </c>
      <c r="CO83" s="2">
        <v>4.0</v>
      </c>
      <c r="CP83" s="2" t="s">
        <v>529</v>
      </c>
      <c r="CQ83" s="2" t="s">
        <v>1025</v>
      </c>
      <c r="CR83" s="2" t="s">
        <v>442</v>
      </c>
      <c r="CS83" s="2" t="s">
        <v>529</v>
      </c>
      <c r="CT83" s="2" t="s">
        <v>368</v>
      </c>
      <c r="CU83" s="2" t="s">
        <v>1026</v>
      </c>
    </row>
    <row r="84" ht="12.75" customHeight="1">
      <c r="A84" s="2">
        <v>83.0</v>
      </c>
      <c r="B84" s="2">
        <v>2.0</v>
      </c>
      <c r="C84" s="2" t="s">
        <v>358</v>
      </c>
      <c r="D84" s="2" t="s">
        <v>359</v>
      </c>
      <c r="E84" s="2" t="s">
        <v>801</v>
      </c>
      <c r="F84" s="2" t="s">
        <v>443</v>
      </c>
      <c r="G84" s="2" t="s">
        <v>443</v>
      </c>
      <c r="H84" s="2" t="s">
        <v>362</v>
      </c>
      <c r="I84" s="2" t="s">
        <v>425</v>
      </c>
      <c r="J84" s="2" t="s">
        <v>365</v>
      </c>
      <c r="K84" s="2" t="s">
        <v>366</v>
      </c>
      <c r="L84" s="2" t="s">
        <v>367</v>
      </c>
      <c r="M84" s="2" t="s">
        <v>645</v>
      </c>
      <c r="N84" s="2" t="s">
        <v>802</v>
      </c>
      <c r="O84" s="2" t="s">
        <v>370</v>
      </c>
      <c r="P84" s="2" t="s">
        <v>372</v>
      </c>
      <c r="Q84" s="2" t="s">
        <v>480</v>
      </c>
      <c r="R84" s="2" t="s">
        <v>480</v>
      </c>
      <c r="S84" s="2" t="s">
        <v>378</v>
      </c>
      <c r="T84" s="2" t="s">
        <v>376</v>
      </c>
      <c r="U84" s="2" t="s">
        <v>376</v>
      </c>
      <c r="V84" s="2" t="s">
        <v>376</v>
      </c>
      <c r="W84" s="2" t="s">
        <v>444</v>
      </c>
      <c r="X84" s="2" t="s">
        <v>378</v>
      </c>
      <c r="Y84" s="2" t="s">
        <v>378</v>
      </c>
      <c r="Z84" s="2" t="s">
        <v>378</v>
      </c>
      <c r="AA84" s="2" t="s">
        <v>382</v>
      </c>
      <c r="AB84" s="2" t="s">
        <v>1112</v>
      </c>
      <c r="AC84" s="2" t="s">
        <v>1094</v>
      </c>
      <c r="AD84" s="2" t="s">
        <v>388</v>
      </c>
      <c r="AE84" s="2" t="s">
        <v>455</v>
      </c>
      <c r="AF84" s="2" t="s">
        <v>33</v>
      </c>
      <c r="AG84" s="2" t="s">
        <v>33</v>
      </c>
      <c r="AH84" s="2" t="s">
        <v>33</v>
      </c>
      <c r="AI84" s="2" t="s">
        <v>33</v>
      </c>
      <c r="AJ84" s="2" t="s">
        <v>33</v>
      </c>
      <c r="AK84" s="2" t="s">
        <v>33</v>
      </c>
      <c r="AL84" s="2">
        <v>3.0</v>
      </c>
      <c r="AM84" s="2">
        <v>4.0</v>
      </c>
      <c r="AN84" s="2">
        <v>2.0</v>
      </c>
      <c r="AO84" s="2">
        <v>3.0</v>
      </c>
      <c r="AP84" s="2">
        <v>4.0</v>
      </c>
      <c r="AQ84" s="2">
        <v>2.0</v>
      </c>
      <c r="AR84" s="2">
        <v>1.0</v>
      </c>
      <c r="AS84" s="2">
        <v>2.0</v>
      </c>
      <c r="AT84" s="2">
        <v>1.0</v>
      </c>
      <c r="AU84" s="2">
        <v>1.0</v>
      </c>
      <c r="AV84" s="2">
        <v>2.0</v>
      </c>
      <c r="AW84" s="2">
        <v>3.0</v>
      </c>
      <c r="AX84" s="2">
        <v>1.0</v>
      </c>
      <c r="AY84" s="2">
        <v>2.0</v>
      </c>
      <c r="AZ84" s="2">
        <v>1.0</v>
      </c>
      <c r="BA84" s="2">
        <v>2.0</v>
      </c>
      <c r="BB84" s="2">
        <v>1.0</v>
      </c>
      <c r="BC84" s="2">
        <v>1.0</v>
      </c>
      <c r="BD84" s="2">
        <v>1.0</v>
      </c>
      <c r="BE84" s="2">
        <v>3.0</v>
      </c>
      <c r="BF84" s="2">
        <v>1.0</v>
      </c>
      <c r="BG84" s="2">
        <v>2.0</v>
      </c>
      <c r="BH84" s="2">
        <v>1.0</v>
      </c>
      <c r="BI84" s="2">
        <v>1.0</v>
      </c>
      <c r="BJ84" s="2">
        <v>1.0</v>
      </c>
      <c r="BK84" s="2">
        <v>1.0</v>
      </c>
      <c r="BL84" s="2">
        <v>2.0</v>
      </c>
      <c r="BM84" s="2">
        <v>4.0</v>
      </c>
      <c r="BN84" s="2">
        <v>4.0</v>
      </c>
      <c r="BO84" s="2">
        <v>1.0</v>
      </c>
      <c r="BP84" s="2">
        <v>1.0</v>
      </c>
      <c r="BQ84" s="2" t="s">
        <v>389</v>
      </c>
      <c r="BR84" s="2" t="s">
        <v>390</v>
      </c>
      <c r="BS84" s="2" t="s">
        <v>391</v>
      </c>
      <c r="BT84" s="2" t="s">
        <v>392</v>
      </c>
      <c r="BU84" s="2" t="s">
        <v>393</v>
      </c>
      <c r="BV84" s="2" t="s">
        <v>395</v>
      </c>
      <c r="BW84" s="2" t="s">
        <v>396</v>
      </c>
      <c r="BX84" s="2" t="s">
        <v>33</v>
      </c>
      <c r="BY84" s="2" t="s">
        <v>33</v>
      </c>
      <c r="BZ84" s="2" t="s">
        <v>33</v>
      </c>
      <c r="CA84" s="2" t="s">
        <v>33</v>
      </c>
      <c r="CB84" s="2" t="s">
        <v>33</v>
      </c>
      <c r="CC84" s="2" t="s">
        <v>1973</v>
      </c>
      <c r="CD84" s="2">
        <v>3.0</v>
      </c>
      <c r="CE84" s="2" t="s">
        <v>899</v>
      </c>
      <c r="CF84" s="2" t="s">
        <v>998</v>
      </c>
      <c r="CG84" s="2" t="s">
        <v>999</v>
      </c>
      <c r="CH84" s="2" t="s">
        <v>33</v>
      </c>
      <c r="CI84" s="2" t="s">
        <v>33</v>
      </c>
      <c r="CJ84" s="2" t="s">
        <v>33</v>
      </c>
      <c r="CK84" s="2" t="s">
        <v>425</v>
      </c>
      <c r="CL84" s="2" t="s">
        <v>367</v>
      </c>
      <c r="CM84" s="4">
        <v>45679.0</v>
      </c>
      <c r="CN84" s="4">
        <v>45681.0</v>
      </c>
      <c r="CO84" s="2">
        <v>3.0</v>
      </c>
      <c r="CP84" s="2" t="s">
        <v>529</v>
      </c>
      <c r="CQ84" s="2" t="s">
        <v>802</v>
      </c>
      <c r="CR84" s="2" t="s">
        <v>370</v>
      </c>
      <c r="CS84" s="2" t="s">
        <v>529</v>
      </c>
      <c r="CT84" s="2" t="s">
        <v>645</v>
      </c>
      <c r="CU84" s="2" t="s">
        <v>372</v>
      </c>
    </row>
    <row r="85" ht="12.75" customHeight="1">
      <c r="A85" s="2">
        <v>84.0</v>
      </c>
      <c r="B85" s="2">
        <v>2.0</v>
      </c>
      <c r="C85" s="2" t="s">
        <v>358</v>
      </c>
      <c r="D85" s="2" t="s">
        <v>359</v>
      </c>
      <c r="E85" s="2" t="s">
        <v>360</v>
      </c>
      <c r="F85" s="2" t="s">
        <v>437</v>
      </c>
      <c r="G85" s="2" t="s">
        <v>437</v>
      </c>
      <c r="H85" s="2" t="s">
        <v>362</v>
      </c>
      <c r="I85" s="2" t="s">
        <v>1974</v>
      </c>
      <c r="J85" s="2" t="s">
        <v>1974</v>
      </c>
      <c r="K85" s="2" t="s">
        <v>1975</v>
      </c>
      <c r="L85" s="2" t="s">
        <v>984</v>
      </c>
      <c r="M85" s="2" t="s">
        <v>368</v>
      </c>
      <c r="N85" s="2" t="s">
        <v>441</v>
      </c>
      <c r="O85" s="2" t="s">
        <v>442</v>
      </c>
      <c r="P85" s="2" t="s">
        <v>372</v>
      </c>
      <c r="Q85" s="2" t="s">
        <v>480</v>
      </c>
      <c r="R85" s="2" t="s">
        <v>480</v>
      </c>
      <c r="S85" s="2" t="s">
        <v>378</v>
      </c>
      <c r="T85" s="2" t="s">
        <v>376</v>
      </c>
      <c r="U85" s="2" t="s">
        <v>378</v>
      </c>
      <c r="V85" s="2" t="s">
        <v>378</v>
      </c>
      <c r="W85" s="2" t="s">
        <v>376</v>
      </c>
      <c r="X85" s="2" t="s">
        <v>444</v>
      </c>
      <c r="Y85" s="2" t="s">
        <v>376</v>
      </c>
      <c r="Z85" s="2" t="s">
        <v>444</v>
      </c>
      <c r="AA85" s="2" t="s">
        <v>1031</v>
      </c>
      <c r="AB85" s="2" t="s">
        <v>359</v>
      </c>
      <c r="AC85" s="2" t="s">
        <v>450</v>
      </c>
      <c r="AD85" s="2" t="s">
        <v>452</v>
      </c>
      <c r="AE85" s="2" t="s">
        <v>386</v>
      </c>
      <c r="AF85" s="2" t="s">
        <v>387</v>
      </c>
      <c r="AG85" s="2" t="s">
        <v>388</v>
      </c>
      <c r="AH85" s="2" t="s">
        <v>455</v>
      </c>
      <c r="AI85" s="2" t="s">
        <v>33</v>
      </c>
      <c r="AJ85" s="2" t="s">
        <v>33</v>
      </c>
      <c r="AK85" s="2" t="s">
        <v>33</v>
      </c>
      <c r="AL85" s="2">
        <v>2.0</v>
      </c>
      <c r="AM85" s="2">
        <v>4.0</v>
      </c>
      <c r="AN85" s="2">
        <v>1.0</v>
      </c>
      <c r="AO85" s="2">
        <v>2.0</v>
      </c>
      <c r="AP85" s="2">
        <v>2.0</v>
      </c>
      <c r="AQ85" s="2">
        <v>3.0</v>
      </c>
      <c r="AR85" s="2">
        <v>1.0</v>
      </c>
      <c r="AS85" s="2">
        <v>4.0</v>
      </c>
      <c r="AT85" s="2">
        <v>2.0</v>
      </c>
      <c r="AU85" s="2">
        <v>2.0</v>
      </c>
      <c r="AV85" s="2">
        <v>4.0</v>
      </c>
      <c r="AW85" s="2">
        <v>3.0</v>
      </c>
      <c r="AX85" s="2">
        <v>1.0</v>
      </c>
      <c r="AY85" s="2">
        <v>5.0</v>
      </c>
      <c r="AZ85" s="2">
        <v>5.0</v>
      </c>
      <c r="BA85" s="2">
        <v>5.0</v>
      </c>
      <c r="BB85" s="2">
        <v>1.0</v>
      </c>
      <c r="BC85" s="2">
        <v>5.0</v>
      </c>
      <c r="BD85" s="2">
        <v>1.0</v>
      </c>
      <c r="BE85" s="2">
        <v>4.0</v>
      </c>
      <c r="BF85" s="2">
        <v>1.0</v>
      </c>
      <c r="BG85" s="2">
        <v>2.0</v>
      </c>
      <c r="BH85" s="2">
        <v>1.0</v>
      </c>
      <c r="BI85" s="2">
        <v>2.0</v>
      </c>
      <c r="BJ85" s="2">
        <v>1.0</v>
      </c>
      <c r="BK85" s="2">
        <v>3.0</v>
      </c>
      <c r="BL85" s="2">
        <v>1.0</v>
      </c>
      <c r="BM85" s="2">
        <v>1.0</v>
      </c>
      <c r="BN85" s="2">
        <v>2.0</v>
      </c>
      <c r="BO85" s="2">
        <v>2.0</v>
      </c>
      <c r="BP85" s="2">
        <v>4.0</v>
      </c>
      <c r="BQ85" s="2" t="s">
        <v>390</v>
      </c>
      <c r="BR85" s="2" t="s">
        <v>391</v>
      </c>
      <c r="BS85" s="2" t="s">
        <v>392</v>
      </c>
      <c r="BT85" s="2" t="s">
        <v>393</v>
      </c>
      <c r="BU85" s="2" t="s">
        <v>395</v>
      </c>
      <c r="BV85" s="2" t="s">
        <v>396</v>
      </c>
      <c r="BW85" s="2" t="s">
        <v>33</v>
      </c>
      <c r="BX85" s="2" t="s">
        <v>33</v>
      </c>
      <c r="BY85" s="2" t="s">
        <v>33</v>
      </c>
      <c r="BZ85" s="2" t="s">
        <v>33</v>
      </c>
      <c r="CA85" s="2" t="s">
        <v>33</v>
      </c>
      <c r="CB85" s="2" t="s">
        <v>33</v>
      </c>
      <c r="CC85" s="3" t="s">
        <v>1977</v>
      </c>
      <c r="CD85" s="2">
        <v>4.0</v>
      </c>
      <c r="CE85" s="2" t="s">
        <v>1978</v>
      </c>
      <c r="CF85" s="2" t="s">
        <v>899</v>
      </c>
      <c r="CG85" s="2" t="s">
        <v>999</v>
      </c>
      <c r="CH85" s="2" t="s">
        <v>33</v>
      </c>
      <c r="CI85" s="2" t="s">
        <v>33</v>
      </c>
      <c r="CJ85" s="2" t="s">
        <v>33</v>
      </c>
      <c r="CK85" s="2" t="s">
        <v>1979</v>
      </c>
      <c r="CL85" s="2" t="s">
        <v>466</v>
      </c>
      <c r="CM85" s="4">
        <v>45671.0</v>
      </c>
      <c r="CN85" s="4">
        <v>45675.0</v>
      </c>
      <c r="CO85" s="2">
        <v>5.0</v>
      </c>
      <c r="CP85" s="2" t="s">
        <v>529</v>
      </c>
      <c r="CQ85" s="2" t="s">
        <v>441</v>
      </c>
      <c r="CR85" s="2" t="s">
        <v>442</v>
      </c>
      <c r="CS85" s="2" t="s">
        <v>529</v>
      </c>
      <c r="CT85" s="2" t="s">
        <v>368</v>
      </c>
      <c r="CU85" s="2" t="s">
        <v>372</v>
      </c>
    </row>
    <row r="86" ht="12.75" customHeight="1">
      <c r="A86" s="2">
        <v>85.0</v>
      </c>
      <c r="B86" s="2">
        <v>1.0</v>
      </c>
      <c r="C86" s="2" t="s">
        <v>358</v>
      </c>
      <c r="D86" s="2" t="s">
        <v>359</v>
      </c>
      <c r="E86" s="2" t="s">
        <v>473</v>
      </c>
      <c r="F86" s="2" t="s">
        <v>437</v>
      </c>
      <c r="G86" s="2" t="s">
        <v>437</v>
      </c>
      <c r="H86" s="2" t="s">
        <v>474</v>
      </c>
      <c r="I86" s="2" t="s">
        <v>859</v>
      </c>
      <c r="J86" s="2" t="s">
        <v>599</v>
      </c>
      <c r="K86" s="2" t="s">
        <v>366</v>
      </c>
      <c r="L86" s="2" t="s">
        <v>599</v>
      </c>
      <c r="M86" s="2" t="s">
        <v>368</v>
      </c>
      <c r="N86" s="2" t="s">
        <v>369</v>
      </c>
      <c r="O86" s="2" t="s">
        <v>442</v>
      </c>
      <c r="P86" s="2" t="s">
        <v>372</v>
      </c>
      <c r="Q86" s="2" t="s">
        <v>480</v>
      </c>
      <c r="R86" s="2" t="s">
        <v>480</v>
      </c>
      <c r="S86" s="2" t="s">
        <v>376</v>
      </c>
      <c r="T86" s="2" t="s">
        <v>376</v>
      </c>
      <c r="U86" s="2" t="s">
        <v>378</v>
      </c>
      <c r="V86" s="2" t="s">
        <v>378</v>
      </c>
      <c r="W86" s="2" t="s">
        <v>444</v>
      </c>
      <c r="X86" s="2" t="s">
        <v>376</v>
      </c>
      <c r="Y86" s="2" t="s">
        <v>376</v>
      </c>
      <c r="Z86" s="2" t="s">
        <v>444</v>
      </c>
      <c r="AA86" s="2" t="s">
        <v>382</v>
      </c>
      <c r="AB86" s="2" t="s">
        <v>359</v>
      </c>
      <c r="AC86" s="2" t="s">
        <v>1094</v>
      </c>
      <c r="AD86" s="2" t="s">
        <v>33</v>
      </c>
      <c r="AE86" s="2" t="s">
        <v>33</v>
      </c>
      <c r="AF86" s="2" t="s">
        <v>33</v>
      </c>
      <c r="AG86" s="2" t="s">
        <v>33</v>
      </c>
      <c r="AH86" s="2" t="s">
        <v>33</v>
      </c>
      <c r="AI86" s="2" t="s">
        <v>33</v>
      </c>
      <c r="AJ86" s="2" t="s">
        <v>33</v>
      </c>
      <c r="AK86" s="2" t="s">
        <v>33</v>
      </c>
      <c r="AL86" s="2">
        <v>4.0</v>
      </c>
      <c r="AM86" s="2">
        <v>4.0</v>
      </c>
      <c r="AN86" s="2">
        <v>1.0</v>
      </c>
      <c r="AO86" s="2">
        <v>4.0</v>
      </c>
      <c r="AP86" s="2">
        <v>4.0</v>
      </c>
      <c r="AQ86" s="2">
        <v>1.0</v>
      </c>
      <c r="AR86" s="2">
        <v>4.0</v>
      </c>
      <c r="AS86" s="2">
        <v>4.0</v>
      </c>
      <c r="AT86" s="2">
        <v>4.0</v>
      </c>
      <c r="AU86" s="2">
        <v>4.0</v>
      </c>
      <c r="AV86" s="2">
        <v>5.0</v>
      </c>
      <c r="AW86" s="2">
        <v>5.0</v>
      </c>
      <c r="AX86" s="2">
        <v>3.0</v>
      </c>
      <c r="AY86" s="2">
        <v>4.0</v>
      </c>
      <c r="AZ86" s="2">
        <v>3.0</v>
      </c>
      <c r="BA86" s="2">
        <v>2.0</v>
      </c>
      <c r="BB86" s="2">
        <v>1.0</v>
      </c>
      <c r="BC86" s="2">
        <v>3.0</v>
      </c>
      <c r="BD86" s="2">
        <v>4.0</v>
      </c>
      <c r="BE86" s="2">
        <v>5.0</v>
      </c>
      <c r="BF86" s="2">
        <v>1.0</v>
      </c>
      <c r="BG86" s="2">
        <v>1.0</v>
      </c>
      <c r="BH86" s="2">
        <v>1.0</v>
      </c>
      <c r="BI86" s="2">
        <v>1.0</v>
      </c>
      <c r="BJ86" s="2">
        <v>2.0</v>
      </c>
      <c r="BK86" s="2">
        <v>1.0</v>
      </c>
      <c r="BL86" s="2">
        <v>1.0</v>
      </c>
      <c r="BM86" s="2">
        <v>1.0</v>
      </c>
      <c r="BN86" s="2">
        <v>2.0</v>
      </c>
      <c r="BO86" s="2">
        <v>1.0</v>
      </c>
      <c r="BP86" s="2">
        <v>2.0</v>
      </c>
      <c r="BQ86" s="2" t="s">
        <v>568</v>
      </c>
      <c r="BR86" s="2" t="s">
        <v>389</v>
      </c>
      <c r="BS86" s="2" t="s">
        <v>390</v>
      </c>
      <c r="BT86" s="2" t="s">
        <v>391</v>
      </c>
      <c r="BU86" s="2" t="s">
        <v>393</v>
      </c>
      <c r="BV86" s="2" t="s">
        <v>396</v>
      </c>
      <c r="BW86" s="2" t="s">
        <v>33</v>
      </c>
      <c r="BX86" s="2" t="s">
        <v>33</v>
      </c>
      <c r="BY86" s="2" t="s">
        <v>33</v>
      </c>
      <c r="BZ86" s="2" t="s">
        <v>33</v>
      </c>
      <c r="CA86" s="2" t="s">
        <v>33</v>
      </c>
      <c r="CB86" s="2" t="s">
        <v>33</v>
      </c>
      <c r="CC86" s="2" t="s">
        <v>1980</v>
      </c>
      <c r="CD86" s="2">
        <v>2.0</v>
      </c>
      <c r="CE86" s="2" t="s">
        <v>899</v>
      </c>
      <c r="CF86" s="2" t="s">
        <v>999</v>
      </c>
      <c r="CG86" s="2" t="s">
        <v>33</v>
      </c>
      <c r="CH86" s="2" t="s">
        <v>33</v>
      </c>
      <c r="CI86" s="2" t="s">
        <v>33</v>
      </c>
      <c r="CJ86" s="2" t="s">
        <v>33</v>
      </c>
      <c r="CK86" s="2" t="s">
        <v>859</v>
      </c>
      <c r="CL86" s="2" t="s">
        <v>466</v>
      </c>
      <c r="CM86" s="4">
        <v>45669.0</v>
      </c>
      <c r="CN86" s="4">
        <v>45673.0</v>
      </c>
      <c r="CO86" s="2">
        <v>5.0</v>
      </c>
      <c r="CP86" s="2" t="s">
        <v>529</v>
      </c>
      <c r="CQ86" s="2" t="s">
        <v>369</v>
      </c>
      <c r="CR86" s="2" t="s">
        <v>442</v>
      </c>
      <c r="CS86" s="2" t="s">
        <v>529</v>
      </c>
      <c r="CT86" s="2" t="s">
        <v>368</v>
      </c>
      <c r="CU86" s="2" t="s">
        <v>372</v>
      </c>
    </row>
    <row r="87" ht="12.75" customHeight="1">
      <c r="A87" s="2">
        <v>86.0</v>
      </c>
      <c r="B87" s="2">
        <v>2.0</v>
      </c>
      <c r="C87" s="2" t="s">
        <v>358</v>
      </c>
      <c r="D87" s="2" t="s">
        <v>359</v>
      </c>
      <c r="E87" s="2" t="s">
        <v>360</v>
      </c>
      <c r="F87" s="2" t="s">
        <v>539</v>
      </c>
      <c r="G87" s="2" t="s">
        <v>539</v>
      </c>
      <c r="H87" s="2" t="s">
        <v>540</v>
      </c>
      <c r="I87" s="2" t="s">
        <v>859</v>
      </c>
      <c r="J87" s="2" t="s">
        <v>599</v>
      </c>
      <c r="K87" s="2" t="s">
        <v>366</v>
      </c>
      <c r="L87" s="2" t="s">
        <v>599</v>
      </c>
      <c r="M87" s="2" t="s">
        <v>645</v>
      </c>
      <c r="N87" s="2" t="s">
        <v>802</v>
      </c>
      <c r="O87" s="2" t="s">
        <v>442</v>
      </c>
      <c r="P87" s="2" t="s">
        <v>372</v>
      </c>
      <c r="Q87" s="2" t="s">
        <v>606</v>
      </c>
      <c r="R87" s="2" t="s">
        <v>1981</v>
      </c>
      <c r="S87" s="2" t="s">
        <v>444</v>
      </c>
      <c r="T87" s="2" t="s">
        <v>378</v>
      </c>
      <c r="U87" s="2" t="s">
        <v>378</v>
      </c>
      <c r="V87" s="2" t="s">
        <v>378</v>
      </c>
      <c r="W87" s="2" t="s">
        <v>444</v>
      </c>
      <c r="X87" s="2" t="s">
        <v>378</v>
      </c>
      <c r="Y87" s="2" t="s">
        <v>444</v>
      </c>
      <c r="Z87" s="2" t="s">
        <v>444</v>
      </c>
      <c r="AA87" s="2" t="s">
        <v>447</v>
      </c>
      <c r="AB87" s="2" t="s">
        <v>490</v>
      </c>
      <c r="AC87" s="2" t="s">
        <v>552</v>
      </c>
      <c r="AD87" s="2" t="s">
        <v>387</v>
      </c>
      <c r="AE87" s="2" t="s">
        <v>33</v>
      </c>
      <c r="AF87" s="2" t="s">
        <v>33</v>
      </c>
      <c r="AG87" s="2" t="s">
        <v>33</v>
      </c>
      <c r="AH87" s="2" t="s">
        <v>33</v>
      </c>
      <c r="AI87" s="2" t="s">
        <v>33</v>
      </c>
      <c r="AJ87" s="2" t="s">
        <v>33</v>
      </c>
      <c r="AK87" s="2" t="s">
        <v>33</v>
      </c>
      <c r="AL87" s="2">
        <v>3.0</v>
      </c>
      <c r="AM87" s="2">
        <v>5.0</v>
      </c>
      <c r="AN87" s="2">
        <v>2.0</v>
      </c>
      <c r="AO87" s="2">
        <v>4.0</v>
      </c>
      <c r="AP87" s="2">
        <v>2.0</v>
      </c>
      <c r="AQ87" s="2">
        <v>2.0</v>
      </c>
      <c r="AR87" s="2">
        <v>3.0</v>
      </c>
      <c r="AS87" s="2">
        <v>3.0</v>
      </c>
      <c r="AT87" s="2">
        <v>2.0</v>
      </c>
      <c r="AU87" s="2">
        <v>5.0</v>
      </c>
      <c r="AV87" s="2">
        <v>5.0</v>
      </c>
      <c r="AW87" s="2">
        <v>4.0</v>
      </c>
      <c r="AX87" s="2">
        <v>4.0</v>
      </c>
      <c r="AY87" s="2">
        <v>3.0</v>
      </c>
      <c r="AZ87" s="2">
        <v>5.0</v>
      </c>
      <c r="BA87" s="2">
        <v>5.0</v>
      </c>
      <c r="BB87" s="2">
        <v>3.0</v>
      </c>
      <c r="BC87" s="2">
        <v>3.0</v>
      </c>
      <c r="BD87" s="2">
        <v>2.0</v>
      </c>
      <c r="BE87" s="2">
        <v>4.0</v>
      </c>
      <c r="BF87" s="2">
        <v>1.0</v>
      </c>
      <c r="BG87" s="2">
        <v>1.0</v>
      </c>
      <c r="BH87" s="2">
        <v>1.0</v>
      </c>
      <c r="BI87" s="2">
        <v>1.0</v>
      </c>
      <c r="BJ87" s="2">
        <v>1.0</v>
      </c>
      <c r="BK87" s="2">
        <v>1.0</v>
      </c>
      <c r="BL87" s="2">
        <v>1.0</v>
      </c>
      <c r="BM87" s="2">
        <v>1.0</v>
      </c>
      <c r="BN87" s="2">
        <v>2.0</v>
      </c>
      <c r="BO87" s="2">
        <v>1.0</v>
      </c>
      <c r="BP87" s="2">
        <v>1.0</v>
      </c>
      <c r="BQ87" s="2" t="s">
        <v>568</v>
      </c>
      <c r="BR87" s="2" t="s">
        <v>389</v>
      </c>
      <c r="BS87" s="2" t="s">
        <v>390</v>
      </c>
      <c r="BT87" s="2" t="s">
        <v>391</v>
      </c>
      <c r="BU87" s="2" t="s">
        <v>393</v>
      </c>
      <c r="BV87" s="2" t="s">
        <v>396</v>
      </c>
      <c r="BW87" s="2" t="s">
        <v>33</v>
      </c>
      <c r="BX87" s="2" t="s">
        <v>33</v>
      </c>
      <c r="BY87" s="2" t="s">
        <v>33</v>
      </c>
      <c r="BZ87" s="2" t="s">
        <v>33</v>
      </c>
      <c r="CA87" s="2" t="s">
        <v>33</v>
      </c>
      <c r="CB87" s="2" t="s">
        <v>33</v>
      </c>
      <c r="CC87" s="2" t="s">
        <v>1982</v>
      </c>
      <c r="CD87" s="2">
        <v>6.0</v>
      </c>
      <c r="CE87" s="2" t="s">
        <v>794</v>
      </c>
      <c r="CF87" s="2" t="s">
        <v>952</v>
      </c>
      <c r="CG87" s="2" t="s">
        <v>1083</v>
      </c>
      <c r="CH87" s="2" t="s">
        <v>1019</v>
      </c>
      <c r="CI87" s="2" t="s">
        <v>999</v>
      </c>
      <c r="CJ87" s="2" t="s">
        <v>33</v>
      </c>
      <c r="CK87" s="2" t="s">
        <v>859</v>
      </c>
      <c r="CL87" s="2" t="s">
        <v>466</v>
      </c>
      <c r="CM87" s="4">
        <v>45685.0</v>
      </c>
      <c r="CN87" s="4">
        <v>45690.0</v>
      </c>
      <c r="CO87" s="2">
        <v>6.0</v>
      </c>
      <c r="CP87" s="2" t="s">
        <v>434</v>
      </c>
      <c r="CQ87" s="2" t="s">
        <v>802</v>
      </c>
      <c r="CR87" s="2" t="s">
        <v>442</v>
      </c>
      <c r="CS87" s="2" t="s">
        <v>434</v>
      </c>
      <c r="CT87" s="2" t="s">
        <v>645</v>
      </c>
      <c r="CU87" s="2" t="s">
        <v>372</v>
      </c>
    </row>
    <row r="88" ht="12.75" customHeight="1">
      <c r="A88" s="2">
        <v>87.0</v>
      </c>
      <c r="B88" s="2">
        <v>2.0</v>
      </c>
      <c r="C88" s="2" t="s">
        <v>358</v>
      </c>
      <c r="D88" s="2" t="s">
        <v>359</v>
      </c>
      <c r="E88" s="2" t="s">
        <v>473</v>
      </c>
      <c r="F88" s="2" t="s">
        <v>361</v>
      </c>
      <c r="G88" s="2" t="s">
        <v>361</v>
      </c>
      <c r="H88" s="2" t="s">
        <v>474</v>
      </c>
      <c r="I88" s="2" t="s">
        <v>859</v>
      </c>
      <c r="J88" s="2" t="s">
        <v>599</v>
      </c>
      <c r="K88" s="2" t="s">
        <v>366</v>
      </c>
      <c r="L88" s="2" t="s">
        <v>599</v>
      </c>
      <c r="M88" s="2" t="s">
        <v>368</v>
      </c>
      <c r="N88" s="2" t="s">
        <v>802</v>
      </c>
      <c r="O88" s="2" t="s">
        <v>442</v>
      </c>
      <c r="P88" s="2" t="s">
        <v>372</v>
      </c>
      <c r="Q88" s="2" t="s">
        <v>361</v>
      </c>
      <c r="R88" s="2" t="s">
        <v>361</v>
      </c>
      <c r="S88" s="2" t="s">
        <v>378</v>
      </c>
      <c r="T88" s="2" t="s">
        <v>376</v>
      </c>
      <c r="U88" s="2" t="s">
        <v>376</v>
      </c>
      <c r="V88" s="2" t="s">
        <v>376</v>
      </c>
      <c r="W88" s="2" t="s">
        <v>444</v>
      </c>
      <c r="X88" s="2" t="s">
        <v>444</v>
      </c>
      <c r="Y88" s="2" t="s">
        <v>444</v>
      </c>
      <c r="Z88" s="2" t="s">
        <v>444</v>
      </c>
      <c r="AA88" s="2" t="s">
        <v>447</v>
      </c>
      <c r="AB88" s="2" t="s">
        <v>359</v>
      </c>
      <c r="AC88" s="2" t="s">
        <v>450</v>
      </c>
      <c r="AD88" s="2" t="s">
        <v>451</v>
      </c>
      <c r="AE88" s="2" t="s">
        <v>452</v>
      </c>
      <c r="AF88" s="2" t="s">
        <v>387</v>
      </c>
      <c r="AG88" s="2" t="s">
        <v>388</v>
      </c>
      <c r="AH88" s="2" t="s">
        <v>33</v>
      </c>
      <c r="AI88" s="2" t="s">
        <v>33</v>
      </c>
      <c r="AJ88" s="2" t="s">
        <v>33</v>
      </c>
      <c r="AK88" s="2" t="s">
        <v>33</v>
      </c>
      <c r="AL88" s="2">
        <v>1.0</v>
      </c>
      <c r="AM88" s="2">
        <v>1.0</v>
      </c>
      <c r="AN88" s="2">
        <v>3.0</v>
      </c>
      <c r="AO88" s="2">
        <v>3.0</v>
      </c>
      <c r="AP88" s="2">
        <v>3.0</v>
      </c>
      <c r="AQ88" s="2">
        <v>1.0</v>
      </c>
      <c r="AR88" s="2">
        <v>4.0</v>
      </c>
      <c r="AS88" s="2">
        <v>4.0</v>
      </c>
      <c r="AT88" s="2">
        <v>4.0</v>
      </c>
      <c r="AU88" s="2">
        <v>5.0</v>
      </c>
      <c r="AV88" s="2">
        <v>5.0</v>
      </c>
      <c r="AW88" s="2">
        <v>5.0</v>
      </c>
      <c r="AX88" s="2">
        <v>1.0</v>
      </c>
      <c r="AY88" s="2">
        <v>1.0</v>
      </c>
      <c r="AZ88" s="2">
        <v>3.0</v>
      </c>
      <c r="BA88" s="2">
        <v>5.0</v>
      </c>
      <c r="BB88" s="2">
        <v>1.0</v>
      </c>
      <c r="BC88" s="2">
        <v>3.0</v>
      </c>
      <c r="BD88" s="2">
        <v>3.0</v>
      </c>
      <c r="BE88" s="2">
        <v>5.0</v>
      </c>
      <c r="BF88" s="2">
        <v>1.0</v>
      </c>
      <c r="BG88" s="2">
        <v>1.0</v>
      </c>
      <c r="BH88" s="2">
        <v>1.0</v>
      </c>
      <c r="BI88" s="2">
        <v>1.0</v>
      </c>
      <c r="BJ88" s="2">
        <v>1.0</v>
      </c>
      <c r="BK88" s="2">
        <v>1.0</v>
      </c>
      <c r="BL88" s="2">
        <v>1.0</v>
      </c>
      <c r="BM88" s="2">
        <v>5.0</v>
      </c>
      <c r="BN88" s="2">
        <v>5.0</v>
      </c>
      <c r="BO88" s="2">
        <v>1.0</v>
      </c>
      <c r="BP88" s="2">
        <v>1.0</v>
      </c>
      <c r="BQ88" s="2" t="s">
        <v>389</v>
      </c>
      <c r="BR88" s="2" t="s">
        <v>390</v>
      </c>
      <c r="BS88" s="2" t="s">
        <v>393</v>
      </c>
      <c r="BT88" s="2" t="s">
        <v>395</v>
      </c>
      <c r="BU88" s="2" t="s">
        <v>396</v>
      </c>
      <c r="BV88" s="2" t="s">
        <v>33</v>
      </c>
      <c r="BW88" s="2" t="s">
        <v>33</v>
      </c>
      <c r="BX88" s="2" t="s">
        <v>33</v>
      </c>
      <c r="BY88" s="2" t="s">
        <v>33</v>
      </c>
      <c r="BZ88" s="2" t="s">
        <v>33</v>
      </c>
      <c r="CA88" s="2" t="s">
        <v>33</v>
      </c>
      <c r="CB88" s="2" t="s">
        <v>33</v>
      </c>
      <c r="CC88" s="2" t="s">
        <v>1923</v>
      </c>
      <c r="CD88" s="2">
        <v>4.0</v>
      </c>
      <c r="CE88" s="2" t="s">
        <v>794</v>
      </c>
      <c r="CF88" s="2" t="s">
        <v>952</v>
      </c>
      <c r="CG88" s="2" t="s">
        <v>998</v>
      </c>
      <c r="CH88" s="2" t="s">
        <v>33</v>
      </c>
      <c r="CI88" s="2" t="s">
        <v>33</v>
      </c>
      <c r="CJ88" s="2" t="s">
        <v>33</v>
      </c>
      <c r="CK88" s="2" t="s">
        <v>859</v>
      </c>
      <c r="CL88" s="2" t="s">
        <v>466</v>
      </c>
      <c r="CM88" s="4">
        <v>45681.0</v>
      </c>
      <c r="CN88" s="4">
        <v>45689.0</v>
      </c>
      <c r="CO88" s="2">
        <v>9.0</v>
      </c>
      <c r="CP88" s="2" t="s">
        <v>434</v>
      </c>
      <c r="CQ88" s="2" t="s">
        <v>802</v>
      </c>
      <c r="CR88" s="2" t="s">
        <v>442</v>
      </c>
      <c r="CS88" s="2" t="s">
        <v>434</v>
      </c>
      <c r="CT88" s="2" t="s">
        <v>368</v>
      </c>
      <c r="CU88" s="2" t="s">
        <v>372</v>
      </c>
    </row>
    <row r="89" ht="12.75" customHeight="1">
      <c r="A89" s="2">
        <v>88.0</v>
      </c>
      <c r="B89" s="2">
        <v>5.0</v>
      </c>
      <c r="C89" s="2" t="s">
        <v>358</v>
      </c>
      <c r="D89" s="2" t="s">
        <v>359</v>
      </c>
      <c r="E89" s="2" t="s">
        <v>360</v>
      </c>
      <c r="F89" s="2" t="s">
        <v>437</v>
      </c>
      <c r="G89" s="2" t="s">
        <v>437</v>
      </c>
      <c r="H89" s="2" t="s">
        <v>540</v>
      </c>
      <c r="I89" s="2" t="s">
        <v>1984</v>
      </c>
      <c r="J89" s="2" t="s">
        <v>438</v>
      </c>
      <c r="K89" s="2" t="s">
        <v>366</v>
      </c>
      <c r="L89" s="2" t="s">
        <v>440</v>
      </c>
      <c r="M89" s="2" t="s">
        <v>368</v>
      </c>
      <c r="N89" s="2" t="s">
        <v>441</v>
      </c>
      <c r="O89" s="2" t="s">
        <v>442</v>
      </c>
      <c r="P89" s="2" t="s">
        <v>372</v>
      </c>
      <c r="Q89" s="2" t="s">
        <v>480</v>
      </c>
      <c r="R89" s="2" t="s">
        <v>480</v>
      </c>
      <c r="S89" s="2" t="s">
        <v>378</v>
      </c>
      <c r="T89" s="2" t="s">
        <v>378</v>
      </c>
      <c r="U89" s="2" t="s">
        <v>378</v>
      </c>
      <c r="V89" s="2" t="s">
        <v>378</v>
      </c>
      <c r="W89" s="2" t="s">
        <v>444</v>
      </c>
      <c r="X89" s="2" t="s">
        <v>378</v>
      </c>
      <c r="Y89" s="2" t="s">
        <v>378</v>
      </c>
      <c r="Z89" s="2" t="s">
        <v>378</v>
      </c>
      <c r="AA89" s="2" t="s">
        <v>382</v>
      </c>
      <c r="AB89" s="2" t="s">
        <v>490</v>
      </c>
      <c r="AC89" s="2" t="s">
        <v>450</v>
      </c>
      <c r="AD89" s="2" t="s">
        <v>451</v>
      </c>
      <c r="AE89" s="2" t="s">
        <v>452</v>
      </c>
      <c r="AF89" s="2" t="s">
        <v>386</v>
      </c>
      <c r="AG89" s="2" t="s">
        <v>387</v>
      </c>
      <c r="AH89" s="2" t="s">
        <v>388</v>
      </c>
      <c r="AI89" s="2" t="s">
        <v>454</v>
      </c>
      <c r="AJ89" s="2" t="s">
        <v>455</v>
      </c>
      <c r="AK89" s="2" t="s">
        <v>33</v>
      </c>
      <c r="AL89" s="2">
        <v>4.0</v>
      </c>
      <c r="AM89" s="2">
        <v>3.0</v>
      </c>
      <c r="AN89" s="2">
        <v>2.0</v>
      </c>
      <c r="AO89" s="2">
        <v>5.0</v>
      </c>
      <c r="AP89" s="2">
        <v>5.0</v>
      </c>
      <c r="AQ89" s="2">
        <v>1.0</v>
      </c>
      <c r="AR89" s="2">
        <v>1.0</v>
      </c>
      <c r="AS89" s="2">
        <v>4.0</v>
      </c>
      <c r="AT89" s="2">
        <v>2.0</v>
      </c>
      <c r="AU89" s="2">
        <v>1.0</v>
      </c>
      <c r="AV89" s="2">
        <v>2.0</v>
      </c>
      <c r="AW89" s="2">
        <v>4.0</v>
      </c>
      <c r="AX89" s="2">
        <v>1.0</v>
      </c>
      <c r="AY89" s="2">
        <v>1.0</v>
      </c>
      <c r="AZ89" s="2">
        <v>1.0</v>
      </c>
      <c r="BA89" s="2">
        <v>2.0</v>
      </c>
      <c r="BB89" s="2">
        <v>1.0</v>
      </c>
      <c r="BC89" s="2">
        <v>1.0</v>
      </c>
      <c r="BD89" s="2">
        <v>1.0</v>
      </c>
      <c r="BE89" s="2">
        <v>4.0</v>
      </c>
      <c r="BF89" s="2">
        <v>2.0</v>
      </c>
      <c r="BG89" s="2">
        <v>1.0</v>
      </c>
      <c r="BH89" s="2">
        <v>1.0</v>
      </c>
      <c r="BI89" s="2">
        <v>1.0</v>
      </c>
      <c r="BJ89" s="2">
        <v>3.0</v>
      </c>
      <c r="BK89" s="2">
        <v>1.0</v>
      </c>
      <c r="BL89" s="2">
        <v>2.0</v>
      </c>
      <c r="BM89" s="2">
        <v>1.0</v>
      </c>
      <c r="BN89" s="2">
        <v>5.0</v>
      </c>
      <c r="BO89" s="2">
        <v>2.0</v>
      </c>
      <c r="BP89" s="2">
        <v>5.0</v>
      </c>
      <c r="BQ89" s="2" t="s">
        <v>568</v>
      </c>
      <c r="BR89" s="2" t="s">
        <v>389</v>
      </c>
      <c r="BS89" s="2" t="s">
        <v>390</v>
      </c>
      <c r="BT89" s="2" t="s">
        <v>391</v>
      </c>
      <c r="BU89" s="2" t="s">
        <v>393</v>
      </c>
      <c r="BV89" s="2" t="s">
        <v>394</v>
      </c>
      <c r="BW89" s="2" t="s">
        <v>395</v>
      </c>
      <c r="BX89" s="2" t="s">
        <v>519</v>
      </c>
      <c r="BY89" s="2" t="s">
        <v>396</v>
      </c>
      <c r="BZ89" s="2" t="s">
        <v>573</v>
      </c>
      <c r="CA89" s="2" t="s">
        <v>730</v>
      </c>
      <c r="CB89" s="2" t="s">
        <v>33</v>
      </c>
      <c r="CC89" s="2" t="s">
        <v>1985</v>
      </c>
      <c r="CD89" s="2">
        <v>4.0</v>
      </c>
      <c r="CE89" s="2" t="s">
        <v>1172</v>
      </c>
      <c r="CF89" s="2" t="s">
        <v>1083</v>
      </c>
      <c r="CG89" s="2" t="s">
        <v>999</v>
      </c>
      <c r="CH89" s="2" t="s">
        <v>33</v>
      </c>
      <c r="CI89" s="2" t="s">
        <v>33</v>
      </c>
      <c r="CJ89" s="2" t="s">
        <v>33</v>
      </c>
      <c r="CK89" s="2" t="s">
        <v>1984</v>
      </c>
      <c r="CL89" s="2" t="s">
        <v>466</v>
      </c>
      <c r="CM89" s="2" t="s">
        <v>33</v>
      </c>
      <c r="CN89" s="2" t="s">
        <v>33</v>
      </c>
      <c r="CO89" s="2" t="s">
        <v>33</v>
      </c>
      <c r="CP89" s="2" t="s">
        <v>529</v>
      </c>
      <c r="CQ89" s="2" t="s">
        <v>441</v>
      </c>
      <c r="CR89" s="2" t="s">
        <v>442</v>
      </c>
      <c r="CS89" s="2" t="s">
        <v>529</v>
      </c>
      <c r="CT89" s="2" t="s">
        <v>368</v>
      </c>
      <c r="CU89" s="2" t="s">
        <v>372</v>
      </c>
    </row>
    <row r="90" ht="12.75" customHeight="1">
      <c r="A90" s="2">
        <v>89.0</v>
      </c>
      <c r="B90" s="2">
        <v>2.0</v>
      </c>
      <c r="C90" s="2" t="s">
        <v>358</v>
      </c>
      <c r="D90" s="2" t="s">
        <v>359</v>
      </c>
      <c r="E90" s="2" t="s">
        <v>360</v>
      </c>
      <c r="F90" s="2" t="s">
        <v>539</v>
      </c>
      <c r="G90" s="2" t="s">
        <v>539</v>
      </c>
      <c r="H90" s="2" t="s">
        <v>362</v>
      </c>
      <c r="I90" s="2" t="s">
        <v>859</v>
      </c>
      <c r="J90" s="2" t="s">
        <v>599</v>
      </c>
      <c r="K90" s="2" t="s">
        <v>366</v>
      </c>
      <c r="L90" s="2" t="s">
        <v>599</v>
      </c>
      <c r="M90" s="2" t="s">
        <v>368</v>
      </c>
      <c r="N90" s="2" t="s">
        <v>441</v>
      </c>
      <c r="O90" s="2" t="s">
        <v>370</v>
      </c>
      <c r="P90" s="2" t="s">
        <v>762</v>
      </c>
      <c r="Q90" s="2" t="s">
        <v>361</v>
      </c>
      <c r="R90" s="2" t="s">
        <v>1986</v>
      </c>
      <c r="S90" s="2" t="s">
        <v>376</v>
      </c>
      <c r="T90" s="2" t="s">
        <v>376</v>
      </c>
      <c r="U90" s="2" t="s">
        <v>376</v>
      </c>
      <c r="V90" s="2" t="s">
        <v>376</v>
      </c>
      <c r="W90" s="2" t="s">
        <v>444</v>
      </c>
      <c r="X90" s="2" t="s">
        <v>444</v>
      </c>
      <c r="Y90" s="2" t="s">
        <v>378</v>
      </c>
      <c r="Z90" s="2" t="s">
        <v>376</v>
      </c>
      <c r="AA90" s="2" t="s">
        <v>382</v>
      </c>
      <c r="AB90" s="2" t="s">
        <v>551</v>
      </c>
      <c r="AC90" s="2" t="s">
        <v>450</v>
      </c>
      <c r="AD90" s="2" t="s">
        <v>451</v>
      </c>
      <c r="AE90" s="2" t="s">
        <v>452</v>
      </c>
      <c r="AF90" s="2" t="s">
        <v>386</v>
      </c>
      <c r="AG90" s="2" t="s">
        <v>387</v>
      </c>
      <c r="AH90" s="2" t="s">
        <v>388</v>
      </c>
      <c r="AI90" s="2" t="s">
        <v>454</v>
      </c>
      <c r="AJ90" s="2" t="s">
        <v>455</v>
      </c>
      <c r="AK90" s="2" t="s">
        <v>33</v>
      </c>
      <c r="AL90" s="2">
        <v>1.0</v>
      </c>
      <c r="AM90" s="2">
        <v>1.0</v>
      </c>
      <c r="AN90" s="2">
        <v>1.0</v>
      </c>
      <c r="AO90" s="2">
        <v>2.0</v>
      </c>
      <c r="AP90" s="2">
        <v>2.0</v>
      </c>
      <c r="AQ90" s="2">
        <v>2.0</v>
      </c>
      <c r="AR90" s="2">
        <v>3.0</v>
      </c>
      <c r="AS90" s="2">
        <v>3.0</v>
      </c>
      <c r="AT90" s="2">
        <v>3.0</v>
      </c>
      <c r="AU90" s="2">
        <v>1.0</v>
      </c>
      <c r="AV90" s="2">
        <v>1.0</v>
      </c>
      <c r="AW90" s="2">
        <v>1.0</v>
      </c>
      <c r="AX90" s="2">
        <v>1.0</v>
      </c>
      <c r="AY90" s="2">
        <v>1.0</v>
      </c>
      <c r="AZ90" s="2">
        <v>1.0</v>
      </c>
      <c r="BA90" s="2">
        <v>3.0</v>
      </c>
      <c r="BB90" s="2">
        <v>1.0</v>
      </c>
      <c r="BC90" s="2">
        <v>1.0</v>
      </c>
      <c r="BD90" s="2">
        <v>3.0</v>
      </c>
      <c r="BE90" s="2">
        <v>3.0</v>
      </c>
      <c r="BF90" s="2">
        <v>1.0</v>
      </c>
      <c r="BG90" s="2">
        <v>1.0</v>
      </c>
      <c r="BH90" s="2">
        <v>1.0</v>
      </c>
      <c r="BI90" s="2">
        <v>1.0</v>
      </c>
      <c r="BJ90" s="2">
        <v>1.0</v>
      </c>
      <c r="BK90" s="2">
        <v>1.0</v>
      </c>
      <c r="BL90" s="2">
        <v>1.0</v>
      </c>
      <c r="BM90" s="2">
        <v>1.0</v>
      </c>
      <c r="BN90" s="2">
        <v>5.0</v>
      </c>
      <c r="BO90" s="2">
        <v>1.0</v>
      </c>
      <c r="BP90" s="2">
        <v>5.0</v>
      </c>
      <c r="BQ90" s="2" t="s">
        <v>389</v>
      </c>
      <c r="BR90" s="2" t="s">
        <v>390</v>
      </c>
      <c r="BS90" s="2" t="s">
        <v>391</v>
      </c>
      <c r="BT90" s="2" t="s">
        <v>392</v>
      </c>
      <c r="BU90" s="2" t="s">
        <v>393</v>
      </c>
      <c r="BV90" s="2" t="s">
        <v>394</v>
      </c>
      <c r="BW90" s="2" t="s">
        <v>395</v>
      </c>
      <c r="BX90" s="2" t="s">
        <v>396</v>
      </c>
      <c r="BY90" s="2" t="s">
        <v>33</v>
      </c>
      <c r="BZ90" s="2" t="s">
        <v>33</v>
      </c>
      <c r="CA90" s="2" t="s">
        <v>33</v>
      </c>
      <c r="CB90" s="2" t="s">
        <v>33</v>
      </c>
      <c r="CC90" s="2" t="s">
        <v>1987</v>
      </c>
      <c r="CD90" s="2">
        <v>10.0</v>
      </c>
      <c r="CE90" s="2" t="s">
        <v>1978</v>
      </c>
      <c r="CF90" s="2" t="s">
        <v>794</v>
      </c>
      <c r="CG90" s="2" t="s">
        <v>1172</v>
      </c>
      <c r="CH90" s="2" t="s">
        <v>899</v>
      </c>
      <c r="CI90" s="2" t="s">
        <v>952</v>
      </c>
      <c r="CJ90" s="2" t="s">
        <v>33</v>
      </c>
      <c r="CK90" s="2" t="s">
        <v>859</v>
      </c>
      <c r="CL90" s="2" t="s">
        <v>466</v>
      </c>
      <c r="CM90" s="4">
        <v>45678.0</v>
      </c>
      <c r="CN90" s="4">
        <v>45685.0</v>
      </c>
      <c r="CO90" s="2">
        <v>8.0</v>
      </c>
      <c r="CP90" s="2" t="s">
        <v>434</v>
      </c>
      <c r="CQ90" s="2" t="s">
        <v>441</v>
      </c>
      <c r="CR90" s="2" t="s">
        <v>370</v>
      </c>
      <c r="CS90" s="2" t="s">
        <v>434</v>
      </c>
      <c r="CT90" s="2" t="s">
        <v>368</v>
      </c>
      <c r="CU90" s="2" t="s">
        <v>762</v>
      </c>
    </row>
    <row r="91" ht="12.75" customHeight="1">
      <c r="A91" s="2">
        <v>90.0</v>
      </c>
      <c r="B91" s="2">
        <v>9.0</v>
      </c>
      <c r="C91" s="2" t="s">
        <v>358</v>
      </c>
      <c r="D91" s="2" t="s">
        <v>639</v>
      </c>
      <c r="E91" s="2" t="s">
        <v>360</v>
      </c>
      <c r="F91" s="2" t="s">
        <v>443</v>
      </c>
      <c r="G91" s="2" t="s">
        <v>443</v>
      </c>
      <c r="H91" s="2" t="s">
        <v>540</v>
      </c>
      <c r="I91" s="2" t="s">
        <v>425</v>
      </c>
      <c r="J91" s="2" t="s">
        <v>365</v>
      </c>
      <c r="K91" s="2" t="s">
        <v>366</v>
      </c>
      <c r="L91" s="2" t="s">
        <v>367</v>
      </c>
      <c r="M91" s="2" t="s">
        <v>368</v>
      </c>
      <c r="N91" s="2" t="s">
        <v>441</v>
      </c>
      <c r="O91" s="2" t="s">
        <v>442</v>
      </c>
      <c r="P91" s="2" t="s">
        <v>372</v>
      </c>
      <c r="Q91" s="2" t="s">
        <v>361</v>
      </c>
      <c r="R91" s="2" t="s">
        <v>361</v>
      </c>
      <c r="S91" s="2" t="s">
        <v>378</v>
      </c>
      <c r="T91" s="2" t="s">
        <v>378</v>
      </c>
      <c r="U91" s="2" t="s">
        <v>376</v>
      </c>
      <c r="V91" s="2" t="s">
        <v>376</v>
      </c>
      <c r="W91" s="2" t="s">
        <v>444</v>
      </c>
      <c r="X91" s="2" t="s">
        <v>378</v>
      </c>
      <c r="Y91" s="2" t="s">
        <v>376</v>
      </c>
      <c r="Z91" s="2" t="s">
        <v>444</v>
      </c>
      <c r="AA91" s="2" t="s">
        <v>986</v>
      </c>
      <c r="AB91" s="2" t="s">
        <v>651</v>
      </c>
      <c r="AC91" s="2" t="s">
        <v>806</v>
      </c>
      <c r="AD91" s="2" t="s">
        <v>33</v>
      </c>
      <c r="AE91" s="2" t="s">
        <v>33</v>
      </c>
      <c r="AF91" s="2" t="s">
        <v>33</v>
      </c>
      <c r="AG91" s="2" t="s">
        <v>33</v>
      </c>
      <c r="AH91" s="2" t="s">
        <v>33</v>
      </c>
      <c r="AI91" s="2" t="s">
        <v>33</v>
      </c>
      <c r="AJ91" s="2" t="s">
        <v>33</v>
      </c>
      <c r="AK91" s="2" t="s">
        <v>33</v>
      </c>
      <c r="AL91" s="2">
        <v>3.0</v>
      </c>
      <c r="AM91" s="2">
        <v>1.0</v>
      </c>
      <c r="AN91" s="2">
        <v>1.0</v>
      </c>
      <c r="AO91" s="2">
        <v>1.0</v>
      </c>
      <c r="AP91" s="2">
        <v>1.0</v>
      </c>
      <c r="AQ91" s="2">
        <v>1.0</v>
      </c>
      <c r="AR91" s="2">
        <v>1.0</v>
      </c>
      <c r="AS91" s="2">
        <v>1.0</v>
      </c>
      <c r="AT91" s="2">
        <v>1.0</v>
      </c>
      <c r="AU91" s="2">
        <v>1.0</v>
      </c>
      <c r="AV91" s="2">
        <v>1.0</v>
      </c>
      <c r="AW91" s="2">
        <v>1.0</v>
      </c>
      <c r="AX91" s="2">
        <v>1.0</v>
      </c>
      <c r="AY91" s="2">
        <v>1.0</v>
      </c>
      <c r="AZ91" s="2">
        <v>1.0</v>
      </c>
      <c r="BA91" s="2">
        <v>1.0</v>
      </c>
      <c r="BB91" s="2">
        <v>1.0</v>
      </c>
      <c r="BC91" s="2">
        <v>1.0</v>
      </c>
      <c r="BD91" s="2">
        <v>1.0</v>
      </c>
      <c r="BE91" s="2">
        <v>5.0</v>
      </c>
      <c r="BF91" s="2">
        <v>1.0</v>
      </c>
      <c r="BG91" s="2">
        <v>1.0</v>
      </c>
      <c r="BH91" s="2">
        <v>1.0</v>
      </c>
      <c r="BI91" s="2">
        <v>1.0</v>
      </c>
      <c r="BJ91" s="2">
        <v>1.0</v>
      </c>
      <c r="BK91" s="2">
        <v>1.0</v>
      </c>
      <c r="BL91" s="2">
        <v>3.0</v>
      </c>
      <c r="BM91" s="2">
        <v>1.0</v>
      </c>
      <c r="BN91" s="2">
        <v>5.0</v>
      </c>
      <c r="BO91" s="2">
        <v>1.0</v>
      </c>
      <c r="BP91" s="2">
        <v>1.0</v>
      </c>
      <c r="BQ91" s="2" t="s">
        <v>568</v>
      </c>
      <c r="BR91" s="2" t="s">
        <v>389</v>
      </c>
      <c r="BS91" s="2" t="s">
        <v>390</v>
      </c>
      <c r="BT91" s="2" t="s">
        <v>391</v>
      </c>
      <c r="BU91" s="2" t="s">
        <v>392</v>
      </c>
      <c r="BV91" s="2" t="s">
        <v>393</v>
      </c>
      <c r="BW91" s="2" t="s">
        <v>394</v>
      </c>
      <c r="BX91" s="2" t="s">
        <v>395</v>
      </c>
      <c r="BY91" s="2" t="s">
        <v>396</v>
      </c>
      <c r="BZ91" s="2" t="s">
        <v>730</v>
      </c>
      <c r="CA91" s="2" t="s">
        <v>33</v>
      </c>
      <c r="CB91" s="2" t="s">
        <v>33</v>
      </c>
      <c r="CC91" s="2" t="s">
        <v>1989</v>
      </c>
      <c r="CD91" s="2">
        <v>6.0</v>
      </c>
      <c r="CE91" s="2" t="s">
        <v>794</v>
      </c>
      <c r="CF91" s="2" t="s">
        <v>899</v>
      </c>
      <c r="CG91" s="2" t="s">
        <v>1083</v>
      </c>
      <c r="CH91" s="2" t="s">
        <v>1019</v>
      </c>
      <c r="CI91" s="2" t="s">
        <v>999</v>
      </c>
      <c r="CJ91" s="2" t="s">
        <v>33</v>
      </c>
      <c r="CK91" s="2" t="s">
        <v>425</v>
      </c>
      <c r="CL91" s="2" t="s">
        <v>367</v>
      </c>
      <c r="CM91" s="2" t="s">
        <v>33</v>
      </c>
      <c r="CN91" s="2" t="s">
        <v>33</v>
      </c>
      <c r="CO91" s="2" t="s">
        <v>33</v>
      </c>
      <c r="CP91" s="2" t="s">
        <v>434</v>
      </c>
      <c r="CQ91" s="2" t="s">
        <v>441</v>
      </c>
      <c r="CR91" s="2" t="s">
        <v>442</v>
      </c>
      <c r="CS91" s="2" t="s">
        <v>434</v>
      </c>
      <c r="CT91" s="2" t="s">
        <v>368</v>
      </c>
      <c r="CU91" s="2" t="s">
        <v>372</v>
      </c>
    </row>
    <row r="92" ht="12.75" customHeight="1">
      <c r="A92" s="2">
        <v>91.0</v>
      </c>
      <c r="B92" s="2">
        <v>2.0</v>
      </c>
      <c r="C92" s="2" t="s">
        <v>358</v>
      </c>
      <c r="D92" s="2" t="s">
        <v>359</v>
      </c>
      <c r="E92" s="2" t="s">
        <v>360</v>
      </c>
      <c r="F92" s="2" t="s">
        <v>437</v>
      </c>
      <c r="G92" s="2" t="s">
        <v>437</v>
      </c>
      <c r="H92" s="2" t="s">
        <v>540</v>
      </c>
      <c r="I92" s="2" t="s">
        <v>425</v>
      </c>
      <c r="J92" s="2" t="s">
        <v>365</v>
      </c>
      <c r="K92" s="2" t="s">
        <v>366</v>
      </c>
      <c r="L92" s="2" t="s">
        <v>367</v>
      </c>
      <c r="M92" s="2" t="s">
        <v>645</v>
      </c>
      <c r="N92" s="2" t="s">
        <v>369</v>
      </c>
      <c r="O92" s="2" t="s">
        <v>370</v>
      </c>
      <c r="P92" s="2" t="s">
        <v>372</v>
      </c>
      <c r="Q92" s="2" t="s">
        <v>480</v>
      </c>
      <c r="R92" s="2" t="s">
        <v>480</v>
      </c>
      <c r="S92" s="2" t="s">
        <v>378</v>
      </c>
      <c r="T92" s="2" t="s">
        <v>376</v>
      </c>
      <c r="U92" s="2" t="s">
        <v>378</v>
      </c>
      <c r="V92" s="2" t="s">
        <v>378</v>
      </c>
      <c r="W92" s="2" t="s">
        <v>444</v>
      </c>
      <c r="X92" s="2" t="s">
        <v>378</v>
      </c>
      <c r="Y92" s="2" t="s">
        <v>376</v>
      </c>
      <c r="Z92" s="2" t="s">
        <v>444</v>
      </c>
      <c r="AA92" s="2" t="s">
        <v>382</v>
      </c>
      <c r="AB92" s="2" t="s">
        <v>1933</v>
      </c>
      <c r="AC92" s="2" t="s">
        <v>1094</v>
      </c>
      <c r="AD92" s="2" t="s">
        <v>782</v>
      </c>
      <c r="AE92" s="2" t="s">
        <v>454</v>
      </c>
      <c r="AF92" s="2" t="s">
        <v>455</v>
      </c>
      <c r="AG92" s="2" t="s">
        <v>33</v>
      </c>
      <c r="AH92" s="2" t="s">
        <v>33</v>
      </c>
      <c r="AI92" s="2" t="s">
        <v>33</v>
      </c>
      <c r="AJ92" s="2" t="s">
        <v>33</v>
      </c>
      <c r="AK92" s="2" t="s">
        <v>33</v>
      </c>
      <c r="AL92" s="2">
        <v>2.0</v>
      </c>
      <c r="AM92" s="2">
        <v>4.0</v>
      </c>
      <c r="AN92" s="2">
        <v>1.0</v>
      </c>
      <c r="AO92" s="2">
        <v>2.0</v>
      </c>
      <c r="AP92" s="2">
        <v>4.0</v>
      </c>
      <c r="AQ92" s="2">
        <v>2.0</v>
      </c>
      <c r="AR92" s="2">
        <v>1.0</v>
      </c>
      <c r="AS92" s="2">
        <v>4.0</v>
      </c>
      <c r="AT92" s="2">
        <v>1.0</v>
      </c>
      <c r="AU92" s="2">
        <v>2.0</v>
      </c>
      <c r="AV92" s="2">
        <v>3.0</v>
      </c>
      <c r="AW92" s="2">
        <v>2.0</v>
      </c>
      <c r="AX92" s="2">
        <v>4.0</v>
      </c>
      <c r="AY92" s="2">
        <v>3.0</v>
      </c>
      <c r="AZ92" s="2">
        <v>1.0</v>
      </c>
      <c r="BA92" s="2">
        <v>4.0</v>
      </c>
      <c r="BB92" s="2">
        <v>1.0</v>
      </c>
      <c r="BC92" s="2">
        <v>3.0</v>
      </c>
      <c r="BD92" s="2">
        <v>3.0</v>
      </c>
      <c r="BE92" s="2">
        <v>4.0</v>
      </c>
      <c r="BF92" s="2">
        <v>2.0</v>
      </c>
      <c r="BG92" s="2">
        <v>1.0</v>
      </c>
      <c r="BH92" s="2">
        <v>1.0</v>
      </c>
      <c r="BI92" s="2">
        <v>1.0</v>
      </c>
      <c r="BJ92" s="2">
        <v>1.0</v>
      </c>
      <c r="BK92" s="2">
        <v>1.0</v>
      </c>
      <c r="BL92" s="2">
        <v>2.0</v>
      </c>
      <c r="BM92" s="2">
        <v>1.0</v>
      </c>
      <c r="BN92" s="2">
        <v>5.0</v>
      </c>
      <c r="BO92" s="2">
        <v>1.0</v>
      </c>
      <c r="BP92" s="2">
        <v>2.0</v>
      </c>
      <c r="BQ92" s="2" t="s">
        <v>568</v>
      </c>
      <c r="BR92" s="2" t="s">
        <v>389</v>
      </c>
      <c r="BS92" s="2" t="s">
        <v>390</v>
      </c>
      <c r="BT92" s="2" t="s">
        <v>391</v>
      </c>
      <c r="BU92" s="2" t="s">
        <v>392</v>
      </c>
      <c r="BV92" s="2" t="s">
        <v>393</v>
      </c>
      <c r="BW92" s="2" t="s">
        <v>395</v>
      </c>
      <c r="BX92" s="2" t="s">
        <v>396</v>
      </c>
      <c r="BY92" s="2" t="s">
        <v>33</v>
      </c>
      <c r="BZ92" s="2" t="s">
        <v>33</v>
      </c>
      <c r="CA92" s="2" t="s">
        <v>33</v>
      </c>
      <c r="CB92" s="2" t="s">
        <v>33</v>
      </c>
      <c r="CC92" s="2" t="s">
        <v>1990</v>
      </c>
      <c r="CD92" s="2">
        <v>5.0</v>
      </c>
      <c r="CE92" s="2" t="s">
        <v>794</v>
      </c>
      <c r="CF92" s="2" t="s">
        <v>952</v>
      </c>
      <c r="CG92" s="2" t="s">
        <v>998</v>
      </c>
      <c r="CH92" s="2" t="s">
        <v>999</v>
      </c>
      <c r="CI92" s="2" t="s">
        <v>33</v>
      </c>
      <c r="CJ92" s="2" t="s">
        <v>33</v>
      </c>
      <c r="CK92" s="2" t="s">
        <v>425</v>
      </c>
      <c r="CL92" s="2" t="s">
        <v>367</v>
      </c>
      <c r="CM92" s="4">
        <v>45683.0</v>
      </c>
      <c r="CN92" s="4">
        <v>45688.0</v>
      </c>
      <c r="CO92" s="2">
        <v>6.0</v>
      </c>
      <c r="CP92" s="2" t="s">
        <v>529</v>
      </c>
      <c r="CQ92" s="2" t="s">
        <v>369</v>
      </c>
      <c r="CR92" s="2" t="s">
        <v>370</v>
      </c>
      <c r="CS92" s="2" t="s">
        <v>529</v>
      </c>
      <c r="CT92" s="2" t="s">
        <v>645</v>
      </c>
      <c r="CU92" s="2" t="s">
        <v>372</v>
      </c>
    </row>
    <row r="93" ht="12.75" customHeight="1">
      <c r="A93" s="2">
        <v>92.0</v>
      </c>
      <c r="B93" s="2">
        <v>2.0</v>
      </c>
      <c r="C93" s="2" t="s">
        <v>358</v>
      </c>
      <c r="D93" s="2" t="s">
        <v>359</v>
      </c>
      <c r="E93" s="2" t="s">
        <v>360</v>
      </c>
      <c r="F93" s="2" t="s">
        <v>437</v>
      </c>
      <c r="G93" s="2" t="s">
        <v>437</v>
      </c>
      <c r="H93" s="2" t="s">
        <v>540</v>
      </c>
      <c r="I93" s="2" t="s">
        <v>859</v>
      </c>
      <c r="J93" s="2" t="s">
        <v>599</v>
      </c>
      <c r="K93" s="2" t="s">
        <v>366</v>
      </c>
      <c r="L93" s="2" t="s">
        <v>599</v>
      </c>
      <c r="M93" s="2" t="s">
        <v>645</v>
      </c>
      <c r="N93" s="2" t="s">
        <v>1025</v>
      </c>
      <c r="O93" s="2" t="s">
        <v>479</v>
      </c>
      <c r="P93" s="2" t="s">
        <v>372</v>
      </c>
      <c r="Q93" s="2" t="s">
        <v>480</v>
      </c>
      <c r="R93" s="2" t="s">
        <v>480</v>
      </c>
      <c r="S93" s="2" t="s">
        <v>378</v>
      </c>
      <c r="T93" s="2" t="s">
        <v>378</v>
      </c>
      <c r="U93" s="2" t="s">
        <v>376</v>
      </c>
      <c r="V93" s="2" t="s">
        <v>378</v>
      </c>
      <c r="W93" s="2" t="s">
        <v>378</v>
      </c>
      <c r="X93" s="2" t="s">
        <v>444</v>
      </c>
      <c r="Y93" s="2" t="s">
        <v>444</v>
      </c>
      <c r="Z93" s="2" t="s">
        <v>444</v>
      </c>
      <c r="AA93" s="2" t="s">
        <v>382</v>
      </c>
      <c r="AB93" s="2" t="s">
        <v>490</v>
      </c>
      <c r="AC93" s="2" t="s">
        <v>552</v>
      </c>
      <c r="AD93" s="2" t="s">
        <v>452</v>
      </c>
      <c r="AE93" s="2" t="s">
        <v>388</v>
      </c>
      <c r="AF93" s="2" t="s">
        <v>33</v>
      </c>
      <c r="AG93" s="2" t="s">
        <v>33</v>
      </c>
      <c r="AH93" s="2" t="s">
        <v>33</v>
      </c>
      <c r="AI93" s="2" t="s">
        <v>33</v>
      </c>
      <c r="AJ93" s="2" t="s">
        <v>33</v>
      </c>
      <c r="AK93" s="2" t="s">
        <v>33</v>
      </c>
      <c r="AL93" s="2">
        <v>5.0</v>
      </c>
      <c r="AM93" s="2">
        <v>4.0</v>
      </c>
      <c r="AN93" s="2">
        <v>3.0</v>
      </c>
      <c r="AO93" s="2">
        <v>3.0</v>
      </c>
      <c r="AP93" s="2">
        <v>3.0</v>
      </c>
      <c r="AQ93" s="2">
        <v>5.0</v>
      </c>
      <c r="AR93" s="2">
        <v>4.0</v>
      </c>
      <c r="AS93" s="2">
        <v>4.0</v>
      </c>
      <c r="AT93" s="2">
        <v>4.0</v>
      </c>
      <c r="AU93" s="2">
        <v>5.0</v>
      </c>
      <c r="AV93" s="2">
        <v>5.0</v>
      </c>
      <c r="AW93" s="2">
        <v>5.0</v>
      </c>
      <c r="AX93" s="2">
        <v>5.0</v>
      </c>
      <c r="AY93" s="2">
        <v>5.0</v>
      </c>
      <c r="AZ93" s="2">
        <v>5.0</v>
      </c>
      <c r="BA93" s="2">
        <v>5.0</v>
      </c>
      <c r="BB93" s="2">
        <v>5.0</v>
      </c>
      <c r="BC93" s="2">
        <v>5.0</v>
      </c>
      <c r="BD93" s="2">
        <v>5.0</v>
      </c>
      <c r="BE93" s="2">
        <v>4.0</v>
      </c>
      <c r="BF93" s="2">
        <v>1.0</v>
      </c>
      <c r="BG93" s="2">
        <v>1.0</v>
      </c>
      <c r="BH93" s="2">
        <v>1.0</v>
      </c>
      <c r="BI93" s="2">
        <v>1.0</v>
      </c>
      <c r="BJ93" s="2">
        <v>2.0</v>
      </c>
      <c r="BK93" s="2">
        <v>2.0</v>
      </c>
      <c r="BL93" s="2">
        <v>1.0</v>
      </c>
      <c r="BM93" s="2">
        <v>1.0</v>
      </c>
      <c r="BN93" s="2">
        <v>2.0</v>
      </c>
      <c r="BO93" s="2">
        <v>2.0</v>
      </c>
      <c r="BP93" s="2">
        <v>3.0</v>
      </c>
      <c r="BQ93" s="2" t="s">
        <v>389</v>
      </c>
      <c r="BR93" s="2" t="s">
        <v>390</v>
      </c>
      <c r="BS93" s="2" t="s">
        <v>391</v>
      </c>
      <c r="BT93" s="2" t="s">
        <v>392</v>
      </c>
      <c r="BU93" s="2" t="s">
        <v>393</v>
      </c>
      <c r="BV93" s="2" t="s">
        <v>396</v>
      </c>
      <c r="BW93" s="2" t="s">
        <v>33</v>
      </c>
      <c r="BX93" s="2" t="s">
        <v>33</v>
      </c>
      <c r="BY93" s="2" t="s">
        <v>33</v>
      </c>
      <c r="BZ93" s="2" t="s">
        <v>33</v>
      </c>
      <c r="CA93" s="2" t="s">
        <v>33</v>
      </c>
      <c r="CB93" s="2" t="s">
        <v>33</v>
      </c>
      <c r="CC93" s="2" t="s">
        <v>1991</v>
      </c>
      <c r="CD93" s="2">
        <v>5.0</v>
      </c>
      <c r="CE93" s="2" t="s">
        <v>794</v>
      </c>
      <c r="CF93" s="2" t="s">
        <v>952</v>
      </c>
      <c r="CG93" s="2" t="s">
        <v>998</v>
      </c>
      <c r="CH93" s="2" t="s">
        <v>999</v>
      </c>
      <c r="CI93" s="2" t="s">
        <v>33</v>
      </c>
      <c r="CJ93" s="2" t="s">
        <v>33</v>
      </c>
      <c r="CK93" s="2" t="s">
        <v>859</v>
      </c>
      <c r="CL93" s="2" t="s">
        <v>466</v>
      </c>
      <c r="CM93" s="2" t="s">
        <v>33</v>
      </c>
      <c r="CN93" s="2" t="s">
        <v>33</v>
      </c>
      <c r="CO93" s="2" t="s">
        <v>33</v>
      </c>
      <c r="CP93" s="2" t="s">
        <v>529</v>
      </c>
      <c r="CQ93" s="2" t="s">
        <v>1025</v>
      </c>
      <c r="CR93" s="2" t="s">
        <v>479</v>
      </c>
      <c r="CS93" s="2" t="s">
        <v>529</v>
      </c>
      <c r="CT93" s="2" t="s">
        <v>645</v>
      </c>
      <c r="CU93" s="2" t="s">
        <v>372</v>
      </c>
    </row>
    <row r="94" ht="12.75" customHeight="1">
      <c r="A94" s="2">
        <v>93.0</v>
      </c>
      <c r="B94" s="2">
        <v>2.0</v>
      </c>
      <c r="C94" s="2" t="s">
        <v>358</v>
      </c>
      <c r="D94" s="2" t="s">
        <v>359</v>
      </c>
      <c r="E94" s="2" t="s">
        <v>360</v>
      </c>
      <c r="F94" s="2" t="s">
        <v>539</v>
      </c>
      <c r="G94" s="2" t="s">
        <v>539</v>
      </c>
      <c r="H94" s="2" t="s">
        <v>540</v>
      </c>
      <c r="I94" s="2" t="s">
        <v>1992</v>
      </c>
      <c r="J94" s="2" t="s">
        <v>365</v>
      </c>
      <c r="K94" s="2" t="s">
        <v>366</v>
      </c>
      <c r="L94" s="2" t="s">
        <v>440</v>
      </c>
      <c r="M94" s="2" t="s">
        <v>368</v>
      </c>
      <c r="N94" s="2" t="s">
        <v>369</v>
      </c>
      <c r="O94" s="2" t="s">
        <v>442</v>
      </c>
      <c r="P94" s="2" t="s">
        <v>372</v>
      </c>
      <c r="Q94" s="2" t="s">
        <v>361</v>
      </c>
      <c r="R94" s="2" t="s">
        <v>1993</v>
      </c>
      <c r="S94" s="2" t="s">
        <v>376</v>
      </c>
      <c r="T94" s="2" t="s">
        <v>376</v>
      </c>
      <c r="U94" s="2" t="s">
        <v>376</v>
      </c>
      <c r="V94" s="2" t="s">
        <v>376</v>
      </c>
      <c r="W94" s="2" t="s">
        <v>378</v>
      </c>
      <c r="X94" s="2" t="s">
        <v>378</v>
      </c>
      <c r="Y94" s="2" t="s">
        <v>444</v>
      </c>
      <c r="Z94" s="2" t="s">
        <v>444</v>
      </c>
      <c r="AA94" s="2" t="s">
        <v>382</v>
      </c>
      <c r="AB94" s="2" t="s">
        <v>1112</v>
      </c>
      <c r="AC94" s="2" t="s">
        <v>450</v>
      </c>
      <c r="AD94" s="2" t="s">
        <v>452</v>
      </c>
      <c r="AE94" s="2" t="s">
        <v>386</v>
      </c>
      <c r="AF94" s="2" t="s">
        <v>387</v>
      </c>
      <c r="AG94" s="2" t="s">
        <v>388</v>
      </c>
      <c r="AH94" s="2" t="s">
        <v>33</v>
      </c>
      <c r="AI94" s="2" t="s">
        <v>33</v>
      </c>
      <c r="AJ94" s="2" t="s">
        <v>33</v>
      </c>
      <c r="AK94" s="2" t="s">
        <v>33</v>
      </c>
      <c r="AL94" s="2">
        <v>5.0</v>
      </c>
      <c r="AM94" s="2">
        <v>3.0</v>
      </c>
      <c r="AN94" s="2">
        <v>2.0</v>
      </c>
      <c r="AO94" s="2">
        <v>3.0</v>
      </c>
      <c r="AP94" s="2">
        <v>4.0</v>
      </c>
      <c r="AQ94" s="2">
        <v>2.0</v>
      </c>
      <c r="AR94" s="2">
        <v>2.0</v>
      </c>
      <c r="AS94" s="2">
        <v>1.0</v>
      </c>
      <c r="AT94" s="2">
        <v>1.0</v>
      </c>
      <c r="AU94" s="2">
        <v>3.0</v>
      </c>
      <c r="AV94" s="2">
        <v>5.0</v>
      </c>
      <c r="AW94" s="2">
        <v>3.0</v>
      </c>
      <c r="AX94" s="2">
        <v>3.0</v>
      </c>
      <c r="AY94" s="2">
        <v>1.0</v>
      </c>
      <c r="AZ94" s="2">
        <v>1.0</v>
      </c>
      <c r="BA94" s="2">
        <v>3.0</v>
      </c>
      <c r="BB94" s="2">
        <v>1.0</v>
      </c>
      <c r="BC94" s="2">
        <v>3.0</v>
      </c>
      <c r="BD94" s="2">
        <v>2.0</v>
      </c>
      <c r="BE94" s="2">
        <v>5.0</v>
      </c>
      <c r="BF94" s="2">
        <v>1.0</v>
      </c>
      <c r="BG94" s="2">
        <v>1.0</v>
      </c>
      <c r="BH94" s="2">
        <v>1.0</v>
      </c>
      <c r="BI94" s="2">
        <v>1.0</v>
      </c>
      <c r="BJ94" s="2">
        <v>1.0</v>
      </c>
      <c r="BK94" s="2">
        <v>2.0</v>
      </c>
      <c r="BL94" s="2">
        <v>2.0</v>
      </c>
      <c r="BM94" s="2">
        <v>1.0</v>
      </c>
      <c r="BN94" s="2">
        <v>3.0</v>
      </c>
      <c r="BO94" s="2">
        <v>1.0</v>
      </c>
      <c r="BP94" s="2">
        <v>1.0</v>
      </c>
      <c r="BQ94" s="2" t="s">
        <v>389</v>
      </c>
      <c r="BR94" s="2" t="s">
        <v>390</v>
      </c>
      <c r="BS94" s="2" t="s">
        <v>391</v>
      </c>
      <c r="BT94" s="2" t="s">
        <v>393</v>
      </c>
      <c r="BU94" s="2" t="s">
        <v>394</v>
      </c>
      <c r="BV94" s="2" t="s">
        <v>395</v>
      </c>
      <c r="BW94" s="2" t="s">
        <v>396</v>
      </c>
      <c r="BX94" s="2" t="s">
        <v>33</v>
      </c>
      <c r="BY94" s="2" t="s">
        <v>33</v>
      </c>
      <c r="BZ94" s="2" t="s">
        <v>33</v>
      </c>
      <c r="CA94" s="2" t="s">
        <v>33</v>
      </c>
      <c r="CB94" s="2" t="s">
        <v>33</v>
      </c>
      <c r="CC94" s="2" t="s">
        <v>1994</v>
      </c>
      <c r="CD94" s="2">
        <v>4.0</v>
      </c>
      <c r="CE94" s="2" t="s">
        <v>1172</v>
      </c>
      <c r="CF94" s="2" t="s">
        <v>1083</v>
      </c>
      <c r="CG94" s="2" t="s">
        <v>1957</v>
      </c>
      <c r="CH94" s="2" t="s">
        <v>33</v>
      </c>
      <c r="CI94" s="2" t="s">
        <v>33</v>
      </c>
      <c r="CJ94" s="2" t="s">
        <v>33</v>
      </c>
      <c r="CK94" s="2" t="s">
        <v>1992</v>
      </c>
      <c r="CL94" s="2" t="s">
        <v>466</v>
      </c>
      <c r="CM94" s="2" t="s">
        <v>33</v>
      </c>
      <c r="CN94" s="2" t="s">
        <v>33</v>
      </c>
      <c r="CO94" s="2" t="s">
        <v>33</v>
      </c>
      <c r="CP94" s="2" t="s">
        <v>434</v>
      </c>
      <c r="CQ94" s="2" t="s">
        <v>369</v>
      </c>
      <c r="CR94" s="2" t="s">
        <v>442</v>
      </c>
      <c r="CS94" s="2" t="s">
        <v>434</v>
      </c>
      <c r="CT94" s="2" t="s">
        <v>368</v>
      </c>
      <c r="CU94" s="2" t="s">
        <v>372</v>
      </c>
    </row>
    <row r="95" ht="12.75" customHeight="1">
      <c r="A95" s="2">
        <v>94.0</v>
      </c>
      <c r="B95" s="2">
        <v>2.0</v>
      </c>
      <c r="C95" s="2" t="s">
        <v>358</v>
      </c>
      <c r="D95" s="2" t="s">
        <v>359</v>
      </c>
      <c r="E95" s="2" t="s">
        <v>473</v>
      </c>
      <c r="F95" s="2" t="s">
        <v>437</v>
      </c>
      <c r="G95" s="2" t="s">
        <v>437</v>
      </c>
      <c r="H95" s="2" t="s">
        <v>540</v>
      </c>
      <c r="I95" s="2" t="s">
        <v>1995</v>
      </c>
      <c r="J95" s="2" t="s">
        <v>599</v>
      </c>
      <c r="K95" s="2" t="s">
        <v>366</v>
      </c>
      <c r="L95" s="2" t="s">
        <v>599</v>
      </c>
      <c r="M95" s="2" t="s">
        <v>368</v>
      </c>
      <c r="N95" s="2" t="s">
        <v>441</v>
      </c>
      <c r="O95" s="2" t="s">
        <v>442</v>
      </c>
      <c r="P95" s="2" t="s">
        <v>762</v>
      </c>
      <c r="Q95" s="2" t="s">
        <v>361</v>
      </c>
      <c r="R95" s="2" t="s">
        <v>361</v>
      </c>
      <c r="S95" s="2" t="s">
        <v>378</v>
      </c>
      <c r="T95" s="2" t="s">
        <v>378</v>
      </c>
      <c r="U95" s="2" t="s">
        <v>378</v>
      </c>
      <c r="V95" s="2" t="s">
        <v>378</v>
      </c>
      <c r="W95" s="2" t="s">
        <v>444</v>
      </c>
      <c r="X95" s="2" t="s">
        <v>444</v>
      </c>
      <c r="Y95" s="2" t="s">
        <v>378</v>
      </c>
      <c r="Z95" s="2" t="s">
        <v>378</v>
      </c>
      <c r="AA95" s="2" t="s">
        <v>447</v>
      </c>
      <c r="AB95" s="2" t="s">
        <v>490</v>
      </c>
      <c r="AC95" s="2" t="s">
        <v>450</v>
      </c>
      <c r="AD95" s="2" t="s">
        <v>452</v>
      </c>
      <c r="AE95" s="2" t="s">
        <v>386</v>
      </c>
      <c r="AF95" s="2" t="s">
        <v>387</v>
      </c>
      <c r="AG95" s="2" t="s">
        <v>388</v>
      </c>
      <c r="AH95" s="2" t="s">
        <v>454</v>
      </c>
      <c r="AI95" s="2" t="s">
        <v>455</v>
      </c>
      <c r="AJ95" s="2" t="s">
        <v>33</v>
      </c>
      <c r="AK95" s="2" t="s">
        <v>33</v>
      </c>
      <c r="AL95" s="2">
        <v>1.0</v>
      </c>
      <c r="AM95" s="2">
        <v>2.0</v>
      </c>
      <c r="AN95" s="2">
        <v>1.0</v>
      </c>
      <c r="AO95" s="2">
        <v>2.0</v>
      </c>
      <c r="AP95" s="2">
        <v>2.0</v>
      </c>
      <c r="AQ95" s="2">
        <v>2.0</v>
      </c>
      <c r="AR95" s="2">
        <v>3.0</v>
      </c>
      <c r="AS95" s="2">
        <v>2.0</v>
      </c>
      <c r="AT95" s="2">
        <v>4.0</v>
      </c>
      <c r="AU95" s="2">
        <v>4.0</v>
      </c>
      <c r="AV95" s="2">
        <v>3.0</v>
      </c>
      <c r="AW95" s="2">
        <v>3.0</v>
      </c>
      <c r="AX95" s="2">
        <v>3.0</v>
      </c>
      <c r="AY95" s="2">
        <v>2.0</v>
      </c>
      <c r="AZ95" s="2">
        <v>2.0</v>
      </c>
      <c r="BA95" s="2">
        <v>3.0</v>
      </c>
      <c r="BB95" s="2">
        <v>3.0</v>
      </c>
      <c r="BC95" s="2">
        <v>1.0</v>
      </c>
      <c r="BD95" s="2">
        <v>2.0</v>
      </c>
      <c r="BE95" s="2">
        <v>4.0</v>
      </c>
      <c r="BF95" s="2">
        <v>1.0</v>
      </c>
      <c r="BG95" s="2">
        <v>1.0</v>
      </c>
      <c r="BH95" s="2">
        <v>2.0</v>
      </c>
      <c r="BI95" s="2">
        <v>2.0</v>
      </c>
      <c r="BJ95" s="2">
        <v>2.0</v>
      </c>
      <c r="BK95" s="2">
        <v>2.0</v>
      </c>
      <c r="BL95" s="2">
        <v>1.0</v>
      </c>
      <c r="BM95" s="2">
        <v>2.0</v>
      </c>
      <c r="BN95" s="2">
        <v>3.0</v>
      </c>
      <c r="BO95" s="2">
        <v>2.0</v>
      </c>
      <c r="BP95" s="2">
        <v>2.0</v>
      </c>
      <c r="BQ95" s="2" t="s">
        <v>568</v>
      </c>
      <c r="BR95" s="2" t="s">
        <v>390</v>
      </c>
      <c r="BS95" s="2" t="s">
        <v>391</v>
      </c>
      <c r="BT95" s="2" t="s">
        <v>392</v>
      </c>
      <c r="BU95" s="2" t="s">
        <v>393</v>
      </c>
      <c r="BV95" s="2" t="s">
        <v>394</v>
      </c>
      <c r="BW95" s="2" t="s">
        <v>396</v>
      </c>
      <c r="BX95" s="2" t="s">
        <v>573</v>
      </c>
      <c r="BY95" s="2" t="s">
        <v>730</v>
      </c>
      <c r="BZ95" s="2" t="s">
        <v>33</v>
      </c>
      <c r="CA95" s="2" t="s">
        <v>33</v>
      </c>
      <c r="CB95" s="2" t="s">
        <v>33</v>
      </c>
      <c r="CC95" s="2" t="s">
        <v>1996</v>
      </c>
      <c r="CD95" s="2">
        <v>1.0</v>
      </c>
      <c r="CE95" s="2" t="s">
        <v>794</v>
      </c>
      <c r="CF95" s="2" t="s">
        <v>33</v>
      </c>
      <c r="CG95" s="2" t="s">
        <v>33</v>
      </c>
      <c r="CH95" s="2" t="s">
        <v>33</v>
      </c>
      <c r="CI95" s="2" t="s">
        <v>33</v>
      </c>
      <c r="CJ95" s="2" t="s">
        <v>33</v>
      </c>
      <c r="CK95" s="2" t="s">
        <v>1995</v>
      </c>
      <c r="CL95" s="2" t="s">
        <v>466</v>
      </c>
      <c r="CM95" s="2" t="s">
        <v>33</v>
      </c>
      <c r="CN95" s="2" t="s">
        <v>33</v>
      </c>
      <c r="CO95" s="2" t="s">
        <v>33</v>
      </c>
      <c r="CP95" s="2" t="s">
        <v>434</v>
      </c>
      <c r="CQ95" s="2" t="s">
        <v>441</v>
      </c>
      <c r="CR95" s="2" t="s">
        <v>442</v>
      </c>
      <c r="CS95" s="2" t="s">
        <v>434</v>
      </c>
      <c r="CT95" s="2" t="s">
        <v>368</v>
      </c>
      <c r="CU95" s="2" t="s">
        <v>762</v>
      </c>
    </row>
    <row r="96" ht="12.75" customHeight="1">
      <c r="A96" s="2">
        <v>95.0</v>
      </c>
      <c r="B96" s="2">
        <v>2.0</v>
      </c>
      <c r="C96" s="2" t="s">
        <v>358</v>
      </c>
      <c r="D96" s="2" t="s">
        <v>359</v>
      </c>
      <c r="E96" s="2" t="s">
        <v>360</v>
      </c>
      <c r="F96" s="2" t="s">
        <v>437</v>
      </c>
      <c r="G96" s="2" t="s">
        <v>437</v>
      </c>
      <c r="H96" s="2" t="s">
        <v>362</v>
      </c>
      <c r="I96" s="2" t="s">
        <v>1909</v>
      </c>
      <c r="J96" s="2" t="s">
        <v>1909</v>
      </c>
      <c r="K96" s="2" t="s">
        <v>1909</v>
      </c>
      <c r="L96" s="2" t="s">
        <v>984</v>
      </c>
      <c r="M96" s="2" t="s">
        <v>645</v>
      </c>
      <c r="N96" s="2" t="s">
        <v>441</v>
      </c>
      <c r="O96" s="2" t="s">
        <v>442</v>
      </c>
      <c r="P96" s="2" t="s">
        <v>372</v>
      </c>
      <c r="Q96" s="2" t="s">
        <v>480</v>
      </c>
      <c r="R96" s="2" t="s">
        <v>480</v>
      </c>
      <c r="S96" s="2" t="s">
        <v>444</v>
      </c>
      <c r="T96" s="2" t="s">
        <v>378</v>
      </c>
      <c r="U96" s="2" t="s">
        <v>378</v>
      </c>
      <c r="V96" s="2" t="s">
        <v>378</v>
      </c>
      <c r="W96" s="2" t="s">
        <v>444</v>
      </c>
      <c r="X96" s="2" t="s">
        <v>444</v>
      </c>
      <c r="Y96" s="2" t="s">
        <v>444</v>
      </c>
      <c r="Z96" s="2" t="s">
        <v>444</v>
      </c>
      <c r="AA96" s="2" t="s">
        <v>447</v>
      </c>
      <c r="AB96" s="2" t="s">
        <v>551</v>
      </c>
      <c r="AC96" s="2" t="s">
        <v>450</v>
      </c>
      <c r="AD96" s="2" t="s">
        <v>452</v>
      </c>
      <c r="AE96" s="2" t="s">
        <v>387</v>
      </c>
      <c r="AF96" s="2" t="s">
        <v>388</v>
      </c>
      <c r="AG96" s="2" t="s">
        <v>455</v>
      </c>
      <c r="AH96" s="2" t="s">
        <v>33</v>
      </c>
      <c r="AI96" s="2" t="s">
        <v>33</v>
      </c>
      <c r="AJ96" s="2" t="s">
        <v>33</v>
      </c>
      <c r="AK96" s="2" t="s">
        <v>33</v>
      </c>
      <c r="AL96" s="2">
        <v>3.0</v>
      </c>
      <c r="AM96" s="2">
        <v>4.0</v>
      </c>
      <c r="AN96" s="2">
        <v>1.0</v>
      </c>
      <c r="AO96" s="2">
        <v>3.0</v>
      </c>
      <c r="AP96" s="2">
        <v>3.0</v>
      </c>
      <c r="AQ96" s="2">
        <v>1.0</v>
      </c>
      <c r="AR96" s="2">
        <v>4.0</v>
      </c>
      <c r="AS96" s="2">
        <v>4.0</v>
      </c>
      <c r="AT96" s="2">
        <v>3.0</v>
      </c>
      <c r="AU96" s="2">
        <v>3.0</v>
      </c>
      <c r="AV96" s="2">
        <v>4.0</v>
      </c>
      <c r="AW96" s="2">
        <v>1.0</v>
      </c>
      <c r="AX96" s="2">
        <v>1.0</v>
      </c>
      <c r="AY96" s="2">
        <v>3.0</v>
      </c>
      <c r="AZ96" s="2">
        <v>1.0</v>
      </c>
      <c r="BA96" s="2">
        <v>3.0</v>
      </c>
      <c r="BB96" s="2">
        <v>1.0</v>
      </c>
      <c r="BC96" s="2">
        <v>1.0</v>
      </c>
      <c r="BD96" s="2">
        <v>2.0</v>
      </c>
      <c r="BE96" s="2">
        <v>3.0</v>
      </c>
      <c r="BF96" s="2">
        <v>1.0</v>
      </c>
      <c r="BG96" s="2">
        <v>1.0</v>
      </c>
      <c r="BH96" s="2">
        <v>4.0</v>
      </c>
      <c r="BI96" s="2">
        <v>1.0</v>
      </c>
      <c r="BJ96" s="2">
        <v>1.0</v>
      </c>
      <c r="BK96" s="2">
        <v>1.0</v>
      </c>
      <c r="BL96" s="2">
        <v>1.0</v>
      </c>
      <c r="BM96" s="2">
        <v>1.0</v>
      </c>
      <c r="BN96" s="2">
        <v>3.0</v>
      </c>
      <c r="BO96" s="2">
        <v>1.0</v>
      </c>
      <c r="BP96" s="2">
        <v>1.0</v>
      </c>
      <c r="BQ96" s="2" t="s">
        <v>568</v>
      </c>
      <c r="BR96" s="2" t="s">
        <v>389</v>
      </c>
      <c r="BS96" s="2" t="s">
        <v>390</v>
      </c>
      <c r="BT96" s="2" t="s">
        <v>392</v>
      </c>
      <c r="BU96" s="2" t="s">
        <v>393</v>
      </c>
      <c r="BV96" s="2" t="s">
        <v>395</v>
      </c>
      <c r="BW96" s="2" t="s">
        <v>396</v>
      </c>
      <c r="BX96" s="2" t="s">
        <v>730</v>
      </c>
      <c r="BY96" s="2" t="s">
        <v>33</v>
      </c>
      <c r="BZ96" s="2" t="s">
        <v>33</v>
      </c>
      <c r="CA96" s="2" t="s">
        <v>33</v>
      </c>
      <c r="CB96" s="2" t="s">
        <v>33</v>
      </c>
      <c r="CC96" s="2" t="s">
        <v>1997</v>
      </c>
      <c r="CD96" s="2">
        <v>5.0</v>
      </c>
      <c r="CE96" s="2" t="s">
        <v>794</v>
      </c>
      <c r="CF96" s="2" t="s">
        <v>952</v>
      </c>
      <c r="CG96" s="2" t="s">
        <v>998</v>
      </c>
      <c r="CH96" s="2" t="s">
        <v>999</v>
      </c>
      <c r="CI96" s="2" t="s">
        <v>33</v>
      </c>
      <c r="CJ96" s="2" t="s">
        <v>33</v>
      </c>
      <c r="CK96" s="2" t="s">
        <v>1909</v>
      </c>
      <c r="CL96" s="2" t="s">
        <v>466</v>
      </c>
      <c r="CM96" s="4">
        <v>45711.0</v>
      </c>
      <c r="CN96" s="4">
        <v>45715.0</v>
      </c>
      <c r="CO96" s="2">
        <v>5.0</v>
      </c>
      <c r="CP96" s="2" t="s">
        <v>529</v>
      </c>
      <c r="CQ96" s="2" t="s">
        <v>441</v>
      </c>
      <c r="CR96" s="2" t="s">
        <v>442</v>
      </c>
      <c r="CS96" s="2" t="s">
        <v>529</v>
      </c>
      <c r="CT96" s="2" t="s">
        <v>645</v>
      </c>
      <c r="CU96" s="2" t="s">
        <v>372</v>
      </c>
    </row>
    <row r="97" ht="12.75" customHeight="1">
      <c r="A97" s="2">
        <v>96.0</v>
      </c>
      <c r="B97" s="2">
        <v>2.0</v>
      </c>
      <c r="C97" s="2" t="s">
        <v>358</v>
      </c>
      <c r="D97" s="2" t="s">
        <v>359</v>
      </c>
      <c r="E97" s="2" t="s">
        <v>360</v>
      </c>
      <c r="F97" s="2" t="s">
        <v>539</v>
      </c>
      <c r="G97" s="2" t="s">
        <v>539</v>
      </c>
      <c r="H97" s="2" t="s">
        <v>362</v>
      </c>
      <c r="I97" s="2" t="s">
        <v>859</v>
      </c>
      <c r="J97" s="2" t="s">
        <v>599</v>
      </c>
      <c r="K97" s="2" t="s">
        <v>366</v>
      </c>
      <c r="L97" s="2" t="s">
        <v>599</v>
      </c>
      <c r="M97" s="2" t="s">
        <v>368</v>
      </c>
      <c r="N97" s="2" t="s">
        <v>369</v>
      </c>
      <c r="O97" s="2" t="s">
        <v>442</v>
      </c>
      <c r="P97" s="2" t="s">
        <v>762</v>
      </c>
      <c r="Q97" s="2" t="s">
        <v>606</v>
      </c>
      <c r="R97" s="2" t="s">
        <v>1998</v>
      </c>
      <c r="S97" s="2" t="s">
        <v>444</v>
      </c>
      <c r="T97" s="2" t="s">
        <v>376</v>
      </c>
      <c r="U97" s="2" t="s">
        <v>378</v>
      </c>
      <c r="V97" s="2" t="s">
        <v>378</v>
      </c>
      <c r="W97" s="2" t="s">
        <v>376</v>
      </c>
      <c r="X97" s="2" t="s">
        <v>444</v>
      </c>
      <c r="Y97" s="2" t="s">
        <v>378</v>
      </c>
      <c r="Z97" s="2" t="s">
        <v>378</v>
      </c>
      <c r="AA97" s="2" t="s">
        <v>382</v>
      </c>
      <c r="AB97" s="2" t="s">
        <v>1112</v>
      </c>
      <c r="AC97" s="2" t="s">
        <v>450</v>
      </c>
      <c r="AD97" s="2" t="s">
        <v>387</v>
      </c>
      <c r="AE97" s="2" t="s">
        <v>388</v>
      </c>
      <c r="AF97" s="2" t="s">
        <v>454</v>
      </c>
      <c r="AG97" s="2" t="s">
        <v>455</v>
      </c>
      <c r="AH97" s="2" t="s">
        <v>33</v>
      </c>
      <c r="AI97" s="2" t="s">
        <v>33</v>
      </c>
      <c r="AJ97" s="2" t="s">
        <v>33</v>
      </c>
      <c r="AK97" s="2" t="s">
        <v>33</v>
      </c>
      <c r="AL97" s="2">
        <v>1.0</v>
      </c>
      <c r="AM97" s="2">
        <v>3.0</v>
      </c>
      <c r="AN97" s="2">
        <v>2.0</v>
      </c>
      <c r="AO97" s="2">
        <v>3.0</v>
      </c>
      <c r="AP97" s="2">
        <v>2.0</v>
      </c>
      <c r="AQ97" s="2">
        <v>1.0</v>
      </c>
      <c r="AR97" s="2">
        <v>5.0</v>
      </c>
      <c r="AS97" s="2">
        <v>2.0</v>
      </c>
      <c r="AT97" s="2">
        <v>2.0</v>
      </c>
      <c r="AU97" s="2">
        <v>4.0</v>
      </c>
      <c r="AV97" s="2">
        <v>5.0</v>
      </c>
      <c r="AW97" s="2">
        <v>5.0</v>
      </c>
      <c r="AX97" s="2">
        <v>4.0</v>
      </c>
      <c r="AY97" s="2">
        <v>2.0</v>
      </c>
      <c r="AZ97" s="2">
        <v>3.0</v>
      </c>
      <c r="BA97" s="2">
        <v>4.0</v>
      </c>
      <c r="BB97" s="2">
        <v>1.0</v>
      </c>
      <c r="BC97" s="2">
        <v>2.0</v>
      </c>
      <c r="BD97" s="2">
        <v>3.0</v>
      </c>
      <c r="BE97" s="2">
        <v>5.0</v>
      </c>
      <c r="BF97" s="2">
        <v>1.0</v>
      </c>
      <c r="BG97" s="2">
        <v>1.0</v>
      </c>
      <c r="BH97" s="2">
        <v>1.0</v>
      </c>
      <c r="BI97" s="2">
        <v>1.0</v>
      </c>
      <c r="BJ97" s="2">
        <v>2.0</v>
      </c>
      <c r="BK97" s="2">
        <v>1.0</v>
      </c>
      <c r="BL97" s="2">
        <v>1.0</v>
      </c>
      <c r="BM97" s="2">
        <v>1.0</v>
      </c>
      <c r="BN97" s="2">
        <v>5.0</v>
      </c>
      <c r="BO97" s="2">
        <v>1.0</v>
      </c>
      <c r="BP97" s="2">
        <v>1.0</v>
      </c>
      <c r="BQ97" s="2" t="s">
        <v>568</v>
      </c>
      <c r="BR97" s="2" t="s">
        <v>389</v>
      </c>
      <c r="BS97" s="2" t="s">
        <v>390</v>
      </c>
      <c r="BT97" s="2" t="s">
        <v>391</v>
      </c>
      <c r="BU97" s="2" t="s">
        <v>392</v>
      </c>
      <c r="BV97" s="2" t="s">
        <v>393</v>
      </c>
      <c r="BW97" s="2" t="s">
        <v>395</v>
      </c>
      <c r="BX97" s="2" t="s">
        <v>519</v>
      </c>
      <c r="BY97" s="2" t="s">
        <v>396</v>
      </c>
      <c r="BZ97" s="2" t="s">
        <v>33</v>
      </c>
      <c r="CA97" s="2" t="s">
        <v>33</v>
      </c>
      <c r="CB97" s="2" t="s">
        <v>33</v>
      </c>
      <c r="CC97" s="2" t="s">
        <v>1999</v>
      </c>
      <c r="CD97" s="2">
        <v>6.0</v>
      </c>
      <c r="CE97" s="2" t="s">
        <v>794</v>
      </c>
      <c r="CF97" s="2" t="s">
        <v>952</v>
      </c>
      <c r="CG97" s="2" t="s">
        <v>1019</v>
      </c>
      <c r="CH97" s="2" t="s">
        <v>999</v>
      </c>
      <c r="CI97" s="2" t="s">
        <v>33</v>
      </c>
      <c r="CJ97" s="2" t="s">
        <v>33</v>
      </c>
      <c r="CK97" s="2" t="s">
        <v>859</v>
      </c>
      <c r="CL97" s="2" t="s">
        <v>466</v>
      </c>
      <c r="CM97" s="4">
        <v>45712.0</v>
      </c>
      <c r="CN97" s="4">
        <v>45717.0</v>
      </c>
      <c r="CO97" s="2">
        <v>6.0</v>
      </c>
      <c r="CP97" s="2" t="s">
        <v>434</v>
      </c>
      <c r="CQ97" s="2" t="s">
        <v>369</v>
      </c>
      <c r="CR97" s="2" t="s">
        <v>442</v>
      </c>
      <c r="CS97" s="2" t="s">
        <v>434</v>
      </c>
      <c r="CT97" s="2" t="s">
        <v>368</v>
      </c>
      <c r="CU97" s="2" t="s">
        <v>762</v>
      </c>
    </row>
    <row r="98" ht="12.75" customHeight="1">
      <c r="A98" s="2">
        <v>97.0</v>
      </c>
      <c r="B98" s="2">
        <v>6.0</v>
      </c>
      <c r="C98" s="2" t="s">
        <v>358</v>
      </c>
      <c r="D98" s="2" t="s">
        <v>359</v>
      </c>
      <c r="E98" s="2" t="s">
        <v>360</v>
      </c>
      <c r="F98" s="2" t="s">
        <v>539</v>
      </c>
      <c r="G98" s="2" t="s">
        <v>539</v>
      </c>
      <c r="H98" s="2" t="s">
        <v>540</v>
      </c>
      <c r="I98" s="2" t="s">
        <v>1744</v>
      </c>
      <c r="J98" s="2" t="s">
        <v>599</v>
      </c>
      <c r="K98" s="2" t="s">
        <v>366</v>
      </c>
      <c r="L98" s="2" t="s">
        <v>599</v>
      </c>
      <c r="M98" s="2" t="s">
        <v>368</v>
      </c>
      <c r="N98" s="2" t="s">
        <v>369</v>
      </c>
      <c r="O98" s="2" t="s">
        <v>479</v>
      </c>
      <c r="P98" s="2" t="s">
        <v>372</v>
      </c>
      <c r="Q98" s="2" t="s">
        <v>361</v>
      </c>
      <c r="R98" s="2" t="s">
        <v>361</v>
      </c>
      <c r="S98" s="2" t="s">
        <v>378</v>
      </c>
      <c r="T98" s="2" t="s">
        <v>378</v>
      </c>
      <c r="U98" s="2" t="s">
        <v>376</v>
      </c>
      <c r="V98" s="2" t="s">
        <v>376</v>
      </c>
      <c r="W98" s="2" t="s">
        <v>444</v>
      </c>
      <c r="X98" s="2" t="s">
        <v>444</v>
      </c>
      <c r="Y98" s="2" t="s">
        <v>444</v>
      </c>
      <c r="Z98" s="2" t="s">
        <v>444</v>
      </c>
      <c r="AA98" s="2" t="s">
        <v>447</v>
      </c>
      <c r="AB98" s="2" t="s">
        <v>359</v>
      </c>
      <c r="AC98" s="2" t="s">
        <v>450</v>
      </c>
      <c r="AD98" s="2" t="s">
        <v>387</v>
      </c>
      <c r="AE98" s="2" t="s">
        <v>388</v>
      </c>
      <c r="AF98" s="2" t="s">
        <v>454</v>
      </c>
      <c r="AG98" s="2" t="s">
        <v>33</v>
      </c>
      <c r="AH98" s="2" t="s">
        <v>33</v>
      </c>
      <c r="AI98" s="2" t="s">
        <v>33</v>
      </c>
      <c r="AJ98" s="2" t="s">
        <v>33</v>
      </c>
      <c r="AK98" s="2" t="s">
        <v>33</v>
      </c>
      <c r="AL98" s="2">
        <v>3.0</v>
      </c>
      <c r="AM98" s="2">
        <v>4.0</v>
      </c>
      <c r="AN98" s="2">
        <v>1.0</v>
      </c>
      <c r="AO98" s="2">
        <v>2.0</v>
      </c>
      <c r="AP98" s="2">
        <v>3.0</v>
      </c>
      <c r="AQ98" s="2">
        <v>1.0</v>
      </c>
      <c r="AR98" s="2">
        <v>3.0</v>
      </c>
      <c r="AS98" s="2">
        <v>3.0</v>
      </c>
      <c r="AT98" s="2">
        <v>2.0</v>
      </c>
      <c r="AU98" s="2">
        <v>2.0</v>
      </c>
      <c r="AV98" s="2">
        <v>4.0</v>
      </c>
      <c r="AW98" s="2">
        <v>2.0</v>
      </c>
      <c r="AX98" s="2">
        <v>2.0</v>
      </c>
      <c r="AY98" s="2">
        <v>3.0</v>
      </c>
      <c r="AZ98" s="2">
        <v>1.0</v>
      </c>
      <c r="BA98" s="2">
        <v>1.0</v>
      </c>
      <c r="BB98" s="2">
        <v>1.0</v>
      </c>
      <c r="BC98" s="2">
        <v>1.0</v>
      </c>
      <c r="BD98" s="2">
        <v>3.0</v>
      </c>
      <c r="BE98" s="2">
        <v>3.0</v>
      </c>
      <c r="BF98" s="2">
        <v>1.0</v>
      </c>
      <c r="BG98" s="2">
        <v>1.0</v>
      </c>
      <c r="BH98" s="2">
        <v>1.0</v>
      </c>
      <c r="BI98" s="2">
        <v>1.0</v>
      </c>
      <c r="BJ98" s="2">
        <v>2.0</v>
      </c>
      <c r="BK98" s="2">
        <v>1.0</v>
      </c>
      <c r="BL98" s="2">
        <v>1.0</v>
      </c>
      <c r="BM98" s="2">
        <v>1.0</v>
      </c>
      <c r="BN98" s="2">
        <v>4.0</v>
      </c>
      <c r="BO98" s="2">
        <v>1.0</v>
      </c>
      <c r="BP98" s="2">
        <v>2.0</v>
      </c>
      <c r="BQ98" s="2" t="s">
        <v>389</v>
      </c>
      <c r="BR98" s="2" t="s">
        <v>390</v>
      </c>
      <c r="BS98" s="2" t="s">
        <v>391</v>
      </c>
      <c r="BT98" s="2" t="s">
        <v>392</v>
      </c>
      <c r="BU98" s="2" t="s">
        <v>393</v>
      </c>
      <c r="BV98" s="2" t="s">
        <v>394</v>
      </c>
      <c r="BW98" s="2" t="s">
        <v>395</v>
      </c>
      <c r="BX98" s="2" t="s">
        <v>33</v>
      </c>
      <c r="BY98" s="2" t="s">
        <v>33</v>
      </c>
      <c r="BZ98" s="2" t="s">
        <v>33</v>
      </c>
      <c r="CA98" s="2" t="s">
        <v>33</v>
      </c>
      <c r="CB98" s="2" t="s">
        <v>33</v>
      </c>
      <c r="CC98" s="2" t="s">
        <v>2000</v>
      </c>
      <c r="CD98" s="2">
        <v>6.0</v>
      </c>
      <c r="CE98" s="2" t="s">
        <v>794</v>
      </c>
      <c r="CF98" s="2" t="s">
        <v>1172</v>
      </c>
      <c r="CG98" s="2" t="s">
        <v>952</v>
      </c>
      <c r="CH98" s="2" t="s">
        <v>1083</v>
      </c>
      <c r="CI98" s="2" t="s">
        <v>1019</v>
      </c>
      <c r="CJ98" s="2" t="s">
        <v>33</v>
      </c>
      <c r="CK98" s="2" t="s">
        <v>1744</v>
      </c>
      <c r="CL98" s="2" t="s">
        <v>466</v>
      </c>
      <c r="CM98" s="4">
        <v>45375.0</v>
      </c>
      <c r="CN98" s="4">
        <v>45380.0</v>
      </c>
      <c r="CO98" s="2">
        <v>6.0</v>
      </c>
      <c r="CP98" s="2" t="s">
        <v>434</v>
      </c>
      <c r="CQ98" s="2" t="s">
        <v>369</v>
      </c>
      <c r="CR98" s="2" t="s">
        <v>479</v>
      </c>
      <c r="CS98" s="2" t="s">
        <v>434</v>
      </c>
      <c r="CT98" s="2" t="s">
        <v>368</v>
      </c>
      <c r="CU98" s="2" t="s">
        <v>372</v>
      </c>
    </row>
    <row r="99" ht="12.75" customHeight="1">
      <c r="A99" s="2">
        <v>98.0</v>
      </c>
      <c r="B99" s="2">
        <v>4.0</v>
      </c>
      <c r="C99" s="2" t="s">
        <v>358</v>
      </c>
      <c r="D99" s="2" t="s">
        <v>359</v>
      </c>
      <c r="E99" s="2" t="s">
        <v>360</v>
      </c>
      <c r="F99" s="2" t="s">
        <v>539</v>
      </c>
      <c r="G99" s="2" t="s">
        <v>539</v>
      </c>
      <c r="H99" s="2" t="s">
        <v>540</v>
      </c>
      <c r="I99" s="2" t="s">
        <v>425</v>
      </c>
      <c r="J99" s="2" t="s">
        <v>365</v>
      </c>
      <c r="K99" s="2" t="s">
        <v>366</v>
      </c>
      <c r="L99" s="2" t="s">
        <v>367</v>
      </c>
      <c r="M99" s="2" t="s">
        <v>368</v>
      </c>
      <c r="N99" s="2" t="s">
        <v>478</v>
      </c>
      <c r="O99" s="2" t="s">
        <v>370</v>
      </c>
      <c r="P99" s="2" t="s">
        <v>372</v>
      </c>
      <c r="Q99" s="2" t="s">
        <v>606</v>
      </c>
      <c r="R99" s="2" t="s">
        <v>2001</v>
      </c>
      <c r="S99" s="2" t="s">
        <v>2002</v>
      </c>
      <c r="T99" s="2" t="s">
        <v>378</v>
      </c>
      <c r="U99" s="2" t="s">
        <v>378</v>
      </c>
      <c r="V99" s="2" t="s">
        <v>378</v>
      </c>
      <c r="W99" s="2" t="s">
        <v>378</v>
      </c>
      <c r="X99" s="2" t="s">
        <v>444</v>
      </c>
      <c r="Y99" s="2" t="s">
        <v>376</v>
      </c>
      <c r="Z99" s="2" t="s">
        <v>378</v>
      </c>
      <c r="AA99" s="2" t="s">
        <v>447</v>
      </c>
      <c r="AB99" s="2" t="s">
        <v>2003</v>
      </c>
      <c r="AC99" s="2" t="s">
        <v>450</v>
      </c>
      <c r="AD99" s="2" t="s">
        <v>387</v>
      </c>
      <c r="AE99" s="2" t="s">
        <v>388</v>
      </c>
      <c r="AF99" s="2" t="s">
        <v>454</v>
      </c>
      <c r="AG99" s="2" t="s">
        <v>33</v>
      </c>
      <c r="AH99" s="2" t="s">
        <v>33</v>
      </c>
      <c r="AI99" s="2" t="s">
        <v>33</v>
      </c>
      <c r="AJ99" s="2" t="s">
        <v>33</v>
      </c>
      <c r="AK99" s="2" t="s">
        <v>33</v>
      </c>
      <c r="AL99" s="2">
        <v>4.0</v>
      </c>
      <c r="AM99" s="2">
        <v>1.0</v>
      </c>
      <c r="AN99" s="2">
        <v>1.0</v>
      </c>
      <c r="AO99" s="2">
        <v>1.0</v>
      </c>
      <c r="AP99" s="2">
        <v>3.0</v>
      </c>
      <c r="AQ99" s="2">
        <v>1.0</v>
      </c>
      <c r="AR99" s="2">
        <v>2.0</v>
      </c>
      <c r="AS99" s="2">
        <v>2.0</v>
      </c>
      <c r="AT99" s="2">
        <v>2.0</v>
      </c>
      <c r="AU99" s="2">
        <v>1.0</v>
      </c>
      <c r="AV99" s="2">
        <v>1.0</v>
      </c>
      <c r="AW99" s="2">
        <v>1.0</v>
      </c>
      <c r="AX99" s="2">
        <v>1.0</v>
      </c>
      <c r="AY99" s="2">
        <v>1.0</v>
      </c>
      <c r="AZ99" s="2">
        <v>1.0</v>
      </c>
      <c r="BA99" s="2">
        <v>1.0</v>
      </c>
      <c r="BB99" s="2">
        <v>1.0</v>
      </c>
      <c r="BC99" s="2">
        <v>1.0</v>
      </c>
      <c r="BD99" s="2">
        <v>1.0</v>
      </c>
      <c r="BE99" s="2">
        <v>5.0</v>
      </c>
      <c r="BF99" s="2">
        <v>1.0</v>
      </c>
      <c r="BG99" s="2">
        <v>1.0</v>
      </c>
      <c r="BH99" s="2">
        <v>1.0</v>
      </c>
      <c r="BI99" s="2">
        <v>1.0</v>
      </c>
      <c r="BJ99" s="2">
        <v>1.0</v>
      </c>
      <c r="BK99" s="2">
        <v>1.0</v>
      </c>
      <c r="BL99" s="2">
        <v>1.0</v>
      </c>
      <c r="BM99" s="2">
        <v>1.0</v>
      </c>
      <c r="BN99" s="2">
        <v>1.0</v>
      </c>
      <c r="BO99" s="2">
        <v>1.0</v>
      </c>
      <c r="BP99" s="2">
        <v>2.0</v>
      </c>
      <c r="BQ99" s="2" t="s">
        <v>389</v>
      </c>
      <c r="BR99" s="2" t="s">
        <v>390</v>
      </c>
      <c r="BS99" s="2" t="s">
        <v>391</v>
      </c>
      <c r="BT99" s="2" t="s">
        <v>392</v>
      </c>
      <c r="BU99" s="2" t="s">
        <v>393</v>
      </c>
      <c r="BV99" s="2" t="s">
        <v>394</v>
      </c>
      <c r="BW99" s="2" t="s">
        <v>33</v>
      </c>
      <c r="BX99" s="2" t="s">
        <v>33</v>
      </c>
      <c r="BY99" s="2" t="s">
        <v>33</v>
      </c>
      <c r="BZ99" s="2" t="s">
        <v>33</v>
      </c>
      <c r="CA99" s="2" t="s">
        <v>33</v>
      </c>
      <c r="CB99" s="2" t="s">
        <v>33</v>
      </c>
      <c r="CC99" s="2" t="s">
        <v>2004</v>
      </c>
      <c r="CD99" s="2">
        <v>4.0</v>
      </c>
      <c r="CE99" s="2" t="s">
        <v>899</v>
      </c>
      <c r="CF99" s="2" t="s">
        <v>998</v>
      </c>
      <c r="CG99" s="2" t="s">
        <v>999</v>
      </c>
      <c r="CH99" s="2" t="s">
        <v>33</v>
      </c>
      <c r="CI99" s="2" t="s">
        <v>33</v>
      </c>
      <c r="CJ99" s="2" t="s">
        <v>33</v>
      </c>
      <c r="CK99" s="2" t="s">
        <v>425</v>
      </c>
      <c r="CL99" s="2" t="s">
        <v>367</v>
      </c>
      <c r="CM99" s="2" t="s">
        <v>33</v>
      </c>
      <c r="CN99" s="2" t="s">
        <v>33</v>
      </c>
      <c r="CO99" s="2" t="s">
        <v>33</v>
      </c>
      <c r="CP99" s="2" t="s">
        <v>434</v>
      </c>
      <c r="CQ99" s="2" t="s">
        <v>478</v>
      </c>
      <c r="CR99" s="2" t="s">
        <v>370</v>
      </c>
      <c r="CS99" s="2" t="s">
        <v>434</v>
      </c>
      <c r="CT99" s="2" t="s">
        <v>368</v>
      </c>
      <c r="CU99" s="2" t="s">
        <v>372</v>
      </c>
    </row>
    <row r="100" ht="12.75" customHeight="1">
      <c r="A100" s="2">
        <v>99.0</v>
      </c>
      <c r="B100" s="2">
        <v>4.0</v>
      </c>
      <c r="C100" s="2" t="s">
        <v>358</v>
      </c>
      <c r="D100" s="2" t="s">
        <v>359</v>
      </c>
      <c r="E100" s="2" t="s">
        <v>360</v>
      </c>
      <c r="F100" s="2" t="s">
        <v>437</v>
      </c>
      <c r="G100" s="2" t="s">
        <v>437</v>
      </c>
      <c r="H100" s="2" t="s">
        <v>362</v>
      </c>
      <c r="I100" s="2" t="s">
        <v>425</v>
      </c>
      <c r="J100" s="2" t="s">
        <v>365</v>
      </c>
      <c r="K100" s="2" t="s">
        <v>366</v>
      </c>
      <c r="L100" s="2" t="s">
        <v>367</v>
      </c>
      <c r="M100" s="2" t="s">
        <v>368</v>
      </c>
      <c r="N100" s="2" t="s">
        <v>369</v>
      </c>
      <c r="O100" s="2" t="s">
        <v>370</v>
      </c>
      <c r="P100" s="2" t="s">
        <v>1026</v>
      </c>
      <c r="Q100" s="2" t="s">
        <v>480</v>
      </c>
      <c r="R100" s="2" t="s">
        <v>480</v>
      </c>
      <c r="S100" s="2" t="s">
        <v>378</v>
      </c>
      <c r="T100" s="2" t="s">
        <v>376</v>
      </c>
      <c r="U100" s="2" t="s">
        <v>378</v>
      </c>
      <c r="V100" s="2" t="s">
        <v>378</v>
      </c>
      <c r="W100" s="2" t="s">
        <v>378</v>
      </c>
      <c r="X100" s="2" t="s">
        <v>444</v>
      </c>
      <c r="Y100" s="2" t="s">
        <v>378</v>
      </c>
      <c r="Z100" s="2" t="s">
        <v>378</v>
      </c>
      <c r="AA100" s="2" t="s">
        <v>382</v>
      </c>
      <c r="AB100" s="2" t="s">
        <v>1933</v>
      </c>
      <c r="AC100" s="2" t="s">
        <v>450</v>
      </c>
      <c r="AD100" s="2" t="s">
        <v>451</v>
      </c>
      <c r="AE100" s="2" t="s">
        <v>452</v>
      </c>
      <c r="AF100" s="2" t="s">
        <v>386</v>
      </c>
      <c r="AG100" s="2" t="s">
        <v>387</v>
      </c>
      <c r="AH100" s="2" t="s">
        <v>388</v>
      </c>
      <c r="AI100" s="2" t="s">
        <v>454</v>
      </c>
      <c r="AJ100" s="2" t="s">
        <v>455</v>
      </c>
      <c r="AK100" s="2" t="s">
        <v>33</v>
      </c>
      <c r="AL100" s="2">
        <v>3.0</v>
      </c>
      <c r="AM100" s="2">
        <v>1.0</v>
      </c>
      <c r="AN100" s="2">
        <v>3.0</v>
      </c>
      <c r="AO100" s="2">
        <v>3.0</v>
      </c>
      <c r="AP100" s="2">
        <v>3.0</v>
      </c>
      <c r="AQ100" s="2">
        <v>3.0</v>
      </c>
      <c r="AR100" s="2">
        <v>1.0</v>
      </c>
      <c r="AS100" s="2">
        <v>1.0</v>
      </c>
      <c r="AT100" s="2">
        <v>1.0</v>
      </c>
      <c r="AU100" s="2">
        <v>1.0</v>
      </c>
      <c r="AV100" s="2">
        <v>1.0</v>
      </c>
      <c r="AW100" s="2">
        <v>3.0</v>
      </c>
      <c r="AX100" s="2">
        <v>1.0</v>
      </c>
      <c r="AY100" s="2">
        <v>1.0</v>
      </c>
      <c r="AZ100" s="2">
        <v>1.0</v>
      </c>
      <c r="BA100" s="2">
        <v>4.0</v>
      </c>
      <c r="BB100" s="2">
        <v>1.0</v>
      </c>
      <c r="BC100" s="2">
        <v>1.0</v>
      </c>
      <c r="BD100" s="2">
        <v>1.0</v>
      </c>
      <c r="BE100" s="2">
        <v>5.0</v>
      </c>
      <c r="BF100" s="2">
        <v>1.0</v>
      </c>
      <c r="BG100" s="2">
        <v>1.0</v>
      </c>
      <c r="BH100" s="2">
        <v>1.0</v>
      </c>
      <c r="BI100" s="2">
        <v>1.0</v>
      </c>
      <c r="BJ100" s="2">
        <v>1.0</v>
      </c>
      <c r="BK100" s="2">
        <v>1.0</v>
      </c>
      <c r="BL100" s="2">
        <v>1.0</v>
      </c>
      <c r="BM100" s="2">
        <v>1.0</v>
      </c>
      <c r="BN100" s="2">
        <v>1.0</v>
      </c>
      <c r="BO100" s="2">
        <v>1.0</v>
      </c>
      <c r="BP100" s="2">
        <v>1.0</v>
      </c>
      <c r="BQ100" s="2" t="s">
        <v>389</v>
      </c>
      <c r="BR100" s="2" t="s">
        <v>390</v>
      </c>
      <c r="BS100" s="2" t="s">
        <v>392</v>
      </c>
      <c r="BT100" s="2" t="s">
        <v>393</v>
      </c>
      <c r="BU100" s="2" t="s">
        <v>396</v>
      </c>
      <c r="BV100" s="2" t="s">
        <v>33</v>
      </c>
      <c r="BW100" s="2" t="s">
        <v>33</v>
      </c>
      <c r="BX100" s="2" t="s">
        <v>33</v>
      </c>
      <c r="BY100" s="2" t="s">
        <v>33</v>
      </c>
      <c r="BZ100" s="2" t="s">
        <v>33</v>
      </c>
      <c r="CA100" s="2" t="s">
        <v>33</v>
      </c>
      <c r="CB100" s="2" t="s">
        <v>33</v>
      </c>
      <c r="CC100" s="2" t="s">
        <v>2005</v>
      </c>
      <c r="CD100" s="2">
        <v>3.0</v>
      </c>
      <c r="CE100" s="2" t="s">
        <v>794</v>
      </c>
      <c r="CF100" s="2" t="s">
        <v>899</v>
      </c>
      <c r="CG100" s="2" t="s">
        <v>998</v>
      </c>
      <c r="CH100" s="2" t="s">
        <v>33</v>
      </c>
      <c r="CI100" s="2" t="s">
        <v>33</v>
      </c>
      <c r="CJ100" s="2" t="s">
        <v>33</v>
      </c>
      <c r="CK100" s="2" t="s">
        <v>425</v>
      </c>
      <c r="CL100" s="2" t="s">
        <v>367</v>
      </c>
      <c r="CM100" s="4">
        <v>45717.0</v>
      </c>
      <c r="CN100" s="4">
        <v>45720.0</v>
      </c>
      <c r="CO100" s="2">
        <v>4.0</v>
      </c>
      <c r="CP100" s="2" t="s">
        <v>529</v>
      </c>
      <c r="CQ100" s="2" t="s">
        <v>369</v>
      </c>
      <c r="CR100" s="2" t="s">
        <v>370</v>
      </c>
      <c r="CS100" s="2" t="s">
        <v>529</v>
      </c>
      <c r="CT100" s="2" t="s">
        <v>368</v>
      </c>
      <c r="CU100" s="2" t="s">
        <v>1026</v>
      </c>
    </row>
    <row r="101" ht="12.75" customHeight="1">
      <c r="A101" s="2">
        <v>100.0</v>
      </c>
      <c r="B101" s="2">
        <v>4.0</v>
      </c>
      <c r="C101" s="2" t="s">
        <v>358</v>
      </c>
      <c r="D101" s="2" t="s">
        <v>359</v>
      </c>
      <c r="E101" s="2" t="s">
        <v>360</v>
      </c>
      <c r="F101" s="2" t="s">
        <v>437</v>
      </c>
      <c r="G101" s="2" t="s">
        <v>437</v>
      </c>
      <c r="H101" s="2" t="s">
        <v>540</v>
      </c>
      <c r="I101" s="2" t="s">
        <v>425</v>
      </c>
      <c r="J101" s="2" t="s">
        <v>365</v>
      </c>
      <c r="K101" s="2" t="s">
        <v>366</v>
      </c>
      <c r="L101" s="2" t="s">
        <v>367</v>
      </c>
      <c r="M101" s="2" t="s">
        <v>645</v>
      </c>
      <c r="N101" s="2" t="s">
        <v>441</v>
      </c>
      <c r="O101" s="2" t="s">
        <v>442</v>
      </c>
      <c r="P101" s="2" t="s">
        <v>762</v>
      </c>
      <c r="Q101" s="2" t="s">
        <v>480</v>
      </c>
      <c r="R101" s="2" t="s">
        <v>480</v>
      </c>
      <c r="S101" s="2" t="s">
        <v>444</v>
      </c>
      <c r="T101" s="2" t="s">
        <v>378</v>
      </c>
      <c r="U101" s="2" t="s">
        <v>376</v>
      </c>
      <c r="V101" s="2" t="s">
        <v>378</v>
      </c>
      <c r="W101" s="2" t="s">
        <v>378</v>
      </c>
      <c r="X101" s="2" t="s">
        <v>444</v>
      </c>
      <c r="Y101" s="2" t="s">
        <v>444</v>
      </c>
      <c r="Z101" s="2" t="s">
        <v>378</v>
      </c>
      <c r="AA101" s="2" t="s">
        <v>382</v>
      </c>
      <c r="AB101" s="2" t="s">
        <v>551</v>
      </c>
      <c r="AC101" s="2" t="s">
        <v>552</v>
      </c>
      <c r="AD101" s="2" t="s">
        <v>452</v>
      </c>
      <c r="AE101" s="2" t="s">
        <v>386</v>
      </c>
      <c r="AF101" s="2" t="s">
        <v>387</v>
      </c>
      <c r="AG101" s="2" t="s">
        <v>388</v>
      </c>
      <c r="AH101" s="2" t="s">
        <v>454</v>
      </c>
      <c r="AI101" s="2" t="s">
        <v>455</v>
      </c>
      <c r="AJ101" s="2" t="s">
        <v>33</v>
      </c>
      <c r="AK101" s="2" t="s">
        <v>33</v>
      </c>
      <c r="AL101" s="2">
        <v>5.0</v>
      </c>
      <c r="AM101" s="2">
        <v>3.0</v>
      </c>
      <c r="AN101" s="2">
        <v>3.0</v>
      </c>
      <c r="AO101" s="2">
        <v>3.0</v>
      </c>
      <c r="AP101" s="2">
        <v>2.0</v>
      </c>
      <c r="AQ101" s="2">
        <v>2.0</v>
      </c>
      <c r="AR101" s="2">
        <v>1.0</v>
      </c>
      <c r="AS101" s="2">
        <v>2.0</v>
      </c>
      <c r="AT101" s="2">
        <v>1.0</v>
      </c>
      <c r="AU101" s="2">
        <v>2.0</v>
      </c>
      <c r="AV101" s="2">
        <v>5.0</v>
      </c>
      <c r="AW101" s="2">
        <v>2.0</v>
      </c>
      <c r="AX101" s="2">
        <v>1.0</v>
      </c>
      <c r="AY101" s="2">
        <v>1.0</v>
      </c>
      <c r="AZ101" s="2">
        <v>1.0</v>
      </c>
      <c r="BA101" s="2">
        <v>1.0</v>
      </c>
      <c r="BB101" s="2">
        <v>1.0</v>
      </c>
      <c r="BC101" s="2">
        <v>1.0</v>
      </c>
      <c r="BD101" s="2">
        <v>1.0</v>
      </c>
      <c r="BE101" s="2">
        <v>4.0</v>
      </c>
      <c r="BF101" s="2">
        <v>1.0</v>
      </c>
      <c r="BG101" s="2">
        <v>1.0</v>
      </c>
      <c r="BH101" s="2">
        <v>1.0</v>
      </c>
      <c r="BI101" s="2">
        <v>1.0</v>
      </c>
      <c r="BJ101" s="2">
        <v>1.0</v>
      </c>
      <c r="BK101" s="2">
        <v>1.0</v>
      </c>
      <c r="BL101" s="2">
        <v>1.0</v>
      </c>
      <c r="BM101" s="2">
        <v>5.0</v>
      </c>
      <c r="BN101" s="2">
        <v>3.0</v>
      </c>
      <c r="BO101" s="2">
        <v>1.0</v>
      </c>
      <c r="BP101" s="2">
        <v>1.0</v>
      </c>
      <c r="BQ101" s="2" t="s">
        <v>389</v>
      </c>
      <c r="BR101" s="2" t="s">
        <v>390</v>
      </c>
      <c r="BS101" s="2" t="s">
        <v>391</v>
      </c>
      <c r="BT101" s="2" t="s">
        <v>392</v>
      </c>
      <c r="BU101" s="2" t="s">
        <v>393</v>
      </c>
      <c r="BV101" s="2" t="s">
        <v>394</v>
      </c>
      <c r="BW101" s="2" t="s">
        <v>395</v>
      </c>
      <c r="BX101" s="2" t="s">
        <v>396</v>
      </c>
      <c r="BY101" s="2" t="s">
        <v>33</v>
      </c>
      <c r="BZ101" s="2" t="s">
        <v>33</v>
      </c>
      <c r="CA101" s="2" t="s">
        <v>33</v>
      </c>
      <c r="CB101" s="2" t="s">
        <v>33</v>
      </c>
      <c r="CC101" s="2" t="s">
        <v>2006</v>
      </c>
      <c r="CD101" s="2">
        <v>4.0</v>
      </c>
      <c r="CE101" s="2" t="s">
        <v>794</v>
      </c>
      <c r="CF101" s="2" t="s">
        <v>899</v>
      </c>
      <c r="CG101" s="2" t="s">
        <v>1019</v>
      </c>
      <c r="CH101" s="2" t="s">
        <v>33</v>
      </c>
      <c r="CI101" s="2" t="s">
        <v>33</v>
      </c>
      <c r="CJ101" s="2" t="s">
        <v>33</v>
      </c>
      <c r="CK101" s="2" t="s">
        <v>425</v>
      </c>
      <c r="CL101" s="2" t="s">
        <v>367</v>
      </c>
      <c r="CM101" s="4">
        <v>45717.0</v>
      </c>
      <c r="CN101" s="4">
        <v>45720.0</v>
      </c>
      <c r="CO101" s="2">
        <v>4.0</v>
      </c>
      <c r="CP101" s="2" t="s">
        <v>529</v>
      </c>
      <c r="CQ101" s="2" t="s">
        <v>441</v>
      </c>
      <c r="CR101" s="2" t="s">
        <v>442</v>
      </c>
      <c r="CS101" s="2" t="s">
        <v>529</v>
      </c>
      <c r="CT101" s="2" t="s">
        <v>645</v>
      </c>
      <c r="CU101" s="2" t="s">
        <v>762</v>
      </c>
    </row>
    <row r="102" ht="12.75" customHeight="1">
      <c r="A102" s="2">
        <v>101.0</v>
      </c>
      <c r="B102" s="2">
        <v>2.0</v>
      </c>
      <c r="C102" s="2" t="s">
        <v>358</v>
      </c>
      <c r="D102" s="2" t="s">
        <v>359</v>
      </c>
      <c r="E102" s="2" t="s">
        <v>360</v>
      </c>
      <c r="F102" s="2" t="s">
        <v>539</v>
      </c>
      <c r="G102" s="2" t="s">
        <v>539</v>
      </c>
      <c r="H102" s="2" t="s">
        <v>362</v>
      </c>
      <c r="I102" s="2" t="s">
        <v>859</v>
      </c>
      <c r="J102" s="2" t="s">
        <v>599</v>
      </c>
      <c r="K102" s="2" t="s">
        <v>366</v>
      </c>
      <c r="L102" s="2" t="s">
        <v>599</v>
      </c>
      <c r="M102" s="2" t="s">
        <v>368</v>
      </c>
      <c r="N102" s="2" t="s">
        <v>441</v>
      </c>
      <c r="O102" s="2" t="s">
        <v>479</v>
      </c>
      <c r="P102" s="2" t="s">
        <v>762</v>
      </c>
      <c r="Q102" s="2" t="s">
        <v>606</v>
      </c>
      <c r="R102" s="2" t="s">
        <v>2007</v>
      </c>
      <c r="S102" s="2" t="s">
        <v>444</v>
      </c>
      <c r="T102" s="2" t="s">
        <v>378</v>
      </c>
      <c r="U102" s="2" t="s">
        <v>378</v>
      </c>
      <c r="V102" s="2" t="s">
        <v>378</v>
      </c>
      <c r="W102" s="2" t="s">
        <v>444</v>
      </c>
      <c r="X102" s="2" t="s">
        <v>444</v>
      </c>
      <c r="Y102" s="2" t="s">
        <v>378</v>
      </c>
      <c r="Z102" s="2" t="s">
        <v>378</v>
      </c>
      <c r="AA102" s="2" t="s">
        <v>382</v>
      </c>
      <c r="AB102" s="2" t="s">
        <v>490</v>
      </c>
      <c r="AC102" s="2" t="s">
        <v>450</v>
      </c>
      <c r="AD102" s="2" t="s">
        <v>452</v>
      </c>
      <c r="AE102" s="2" t="s">
        <v>386</v>
      </c>
      <c r="AF102" s="2" t="s">
        <v>387</v>
      </c>
      <c r="AG102" s="2" t="s">
        <v>388</v>
      </c>
      <c r="AH102" s="2" t="s">
        <v>33</v>
      </c>
      <c r="AI102" s="2" t="s">
        <v>33</v>
      </c>
      <c r="AJ102" s="2" t="s">
        <v>33</v>
      </c>
      <c r="AK102" s="2" t="s">
        <v>33</v>
      </c>
      <c r="AL102" s="2">
        <v>1.0</v>
      </c>
      <c r="AM102" s="2">
        <v>2.0</v>
      </c>
      <c r="AN102" s="2">
        <v>2.0</v>
      </c>
      <c r="AO102" s="2">
        <v>2.0</v>
      </c>
      <c r="AP102" s="2">
        <v>4.0</v>
      </c>
      <c r="AQ102" s="2">
        <v>1.0</v>
      </c>
      <c r="AR102" s="2">
        <v>5.0</v>
      </c>
      <c r="AS102" s="2">
        <v>5.0</v>
      </c>
      <c r="AT102" s="2">
        <v>4.0</v>
      </c>
      <c r="AU102" s="2">
        <v>3.0</v>
      </c>
      <c r="AV102" s="2">
        <v>3.0</v>
      </c>
      <c r="AW102" s="2">
        <v>2.0</v>
      </c>
      <c r="AX102" s="2">
        <v>1.0</v>
      </c>
      <c r="AY102" s="2">
        <v>3.0</v>
      </c>
      <c r="AZ102" s="2">
        <v>1.0</v>
      </c>
      <c r="BA102" s="2">
        <v>3.0</v>
      </c>
      <c r="BB102" s="2">
        <v>1.0</v>
      </c>
      <c r="BC102" s="2">
        <v>1.0</v>
      </c>
      <c r="BD102" s="2">
        <v>1.0</v>
      </c>
      <c r="BE102" s="2">
        <v>5.0</v>
      </c>
      <c r="BF102" s="2">
        <v>2.0</v>
      </c>
      <c r="BG102" s="2">
        <v>2.0</v>
      </c>
      <c r="BH102" s="2">
        <v>1.0</v>
      </c>
      <c r="BI102" s="2">
        <v>1.0</v>
      </c>
      <c r="BJ102" s="2">
        <v>5.0</v>
      </c>
      <c r="BK102" s="2">
        <v>2.0</v>
      </c>
      <c r="BL102" s="2">
        <v>1.0</v>
      </c>
      <c r="BM102" s="2">
        <v>1.0</v>
      </c>
      <c r="BN102" s="2">
        <v>1.0</v>
      </c>
      <c r="BO102" s="2">
        <v>1.0</v>
      </c>
      <c r="BP102" s="2">
        <v>2.0</v>
      </c>
      <c r="BQ102" s="2" t="s">
        <v>389</v>
      </c>
      <c r="BR102" s="2" t="s">
        <v>390</v>
      </c>
      <c r="BS102" s="2" t="s">
        <v>391</v>
      </c>
      <c r="BT102" s="2" t="s">
        <v>392</v>
      </c>
      <c r="BU102" s="2" t="s">
        <v>393</v>
      </c>
      <c r="BV102" s="2" t="s">
        <v>395</v>
      </c>
      <c r="BW102" s="2" t="s">
        <v>396</v>
      </c>
      <c r="BX102" s="2" t="s">
        <v>573</v>
      </c>
      <c r="BY102" s="2" t="s">
        <v>730</v>
      </c>
      <c r="BZ102" s="2" t="s">
        <v>33</v>
      </c>
      <c r="CA102" s="2" t="s">
        <v>33</v>
      </c>
      <c r="CB102" s="2" t="s">
        <v>33</v>
      </c>
      <c r="CC102" s="2" t="s">
        <v>2008</v>
      </c>
      <c r="CD102" s="2">
        <v>3.0</v>
      </c>
      <c r="CE102" s="2" t="s">
        <v>899</v>
      </c>
      <c r="CF102" s="2" t="s">
        <v>1019</v>
      </c>
      <c r="CG102" s="2" t="s">
        <v>33</v>
      </c>
      <c r="CH102" s="2" t="s">
        <v>33</v>
      </c>
      <c r="CI102" s="2" t="s">
        <v>33</v>
      </c>
      <c r="CJ102" s="2" t="s">
        <v>33</v>
      </c>
      <c r="CK102" s="2" t="s">
        <v>859</v>
      </c>
      <c r="CL102" s="2" t="s">
        <v>466</v>
      </c>
      <c r="CM102" s="4">
        <v>45711.0</v>
      </c>
      <c r="CN102" s="4">
        <v>45714.0</v>
      </c>
      <c r="CO102" s="2">
        <v>4.0</v>
      </c>
      <c r="CP102" s="2" t="s">
        <v>434</v>
      </c>
      <c r="CQ102" s="2" t="s">
        <v>441</v>
      </c>
      <c r="CR102" s="2" t="s">
        <v>479</v>
      </c>
      <c r="CS102" s="2" t="s">
        <v>434</v>
      </c>
      <c r="CT102" s="2" t="s">
        <v>368</v>
      </c>
      <c r="CU102" s="2" t="s">
        <v>762</v>
      </c>
    </row>
    <row r="103" ht="12.75" customHeight="1">
      <c r="A103" s="2">
        <v>102.0</v>
      </c>
      <c r="B103" s="2">
        <v>2.0</v>
      </c>
      <c r="C103" s="2" t="s">
        <v>358</v>
      </c>
      <c r="D103" s="2" t="s">
        <v>359</v>
      </c>
      <c r="E103" s="2" t="s">
        <v>360</v>
      </c>
      <c r="F103" s="2" t="s">
        <v>437</v>
      </c>
      <c r="G103" s="2" t="s">
        <v>437</v>
      </c>
      <c r="H103" s="2" t="s">
        <v>540</v>
      </c>
      <c r="I103" s="2" t="s">
        <v>2009</v>
      </c>
      <c r="J103" s="2" t="s">
        <v>599</v>
      </c>
      <c r="K103" s="2" t="s">
        <v>366</v>
      </c>
      <c r="L103" s="2" t="s">
        <v>599</v>
      </c>
      <c r="M103" s="2" t="s">
        <v>368</v>
      </c>
      <c r="N103" s="2" t="s">
        <v>369</v>
      </c>
      <c r="O103" s="2" t="s">
        <v>442</v>
      </c>
      <c r="P103" s="2" t="s">
        <v>372</v>
      </c>
      <c r="Q103" s="2" t="s">
        <v>480</v>
      </c>
      <c r="R103" s="2" t="s">
        <v>480</v>
      </c>
      <c r="S103" s="2" t="s">
        <v>378</v>
      </c>
      <c r="T103" s="2" t="s">
        <v>376</v>
      </c>
      <c r="U103" s="2" t="s">
        <v>378</v>
      </c>
      <c r="V103" s="2" t="s">
        <v>378</v>
      </c>
      <c r="W103" s="2" t="s">
        <v>378</v>
      </c>
      <c r="X103" s="2" t="s">
        <v>378</v>
      </c>
      <c r="Y103" s="2" t="s">
        <v>378</v>
      </c>
      <c r="Z103" s="2" t="s">
        <v>376</v>
      </c>
      <c r="AA103" s="2" t="s">
        <v>864</v>
      </c>
      <c r="AB103" s="2" t="s">
        <v>490</v>
      </c>
      <c r="AC103" s="2" t="s">
        <v>450</v>
      </c>
      <c r="AD103" s="2" t="s">
        <v>451</v>
      </c>
      <c r="AE103" s="2" t="s">
        <v>452</v>
      </c>
      <c r="AF103" s="2" t="s">
        <v>386</v>
      </c>
      <c r="AG103" s="2" t="s">
        <v>387</v>
      </c>
      <c r="AH103" s="2" t="s">
        <v>388</v>
      </c>
      <c r="AI103" s="2" t="s">
        <v>455</v>
      </c>
      <c r="AJ103" s="2" t="s">
        <v>33</v>
      </c>
      <c r="AK103" s="2" t="s">
        <v>33</v>
      </c>
      <c r="AL103" s="2">
        <v>3.0</v>
      </c>
      <c r="AM103" s="2">
        <v>1.0</v>
      </c>
      <c r="AN103" s="2">
        <v>1.0</v>
      </c>
      <c r="AO103" s="2">
        <v>2.0</v>
      </c>
      <c r="AP103" s="2">
        <v>3.0</v>
      </c>
      <c r="AQ103" s="2">
        <v>1.0</v>
      </c>
      <c r="AR103" s="2">
        <v>3.0</v>
      </c>
      <c r="AS103" s="2">
        <v>3.0</v>
      </c>
      <c r="AT103" s="2">
        <v>1.0</v>
      </c>
      <c r="AU103" s="2">
        <v>1.0</v>
      </c>
      <c r="AV103" s="2">
        <v>3.0</v>
      </c>
      <c r="AW103" s="2">
        <v>5.0</v>
      </c>
      <c r="AX103" s="2">
        <v>2.0</v>
      </c>
      <c r="AY103" s="2">
        <v>1.0</v>
      </c>
      <c r="AZ103" s="2">
        <v>3.0</v>
      </c>
      <c r="BA103" s="2">
        <v>5.0</v>
      </c>
      <c r="BB103" s="2">
        <v>1.0</v>
      </c>
      <c r="BC103" s="2">
        <v>2.0</v>
      </c>
      <c r="BD103" s="2">
        <v>1.0</v>
      </c>
      <c r="BE103" s="2">
        <v>5.0</v>
      </c>
      <c r="BF103" s="2">
        <v>1.0</v>
      </c>
      <c r="BG103" s="2">
        <v>2.0</v>
      </c>
      <c r="BH103" s="2">
        <v>1.0</v>
      </c>
      <c r="BI103" s="2">
        <v>1.0</v>
      </c>
      <c r="BJ103" s="2">
        <v>5.0</v>
      </c>
      <c r="BK103" s="2">
        <v>1.0</v>
      </c>
      <c r="BL103" s="2">
        <v>1.0</v>
      </c>
      <c r="BM103" s="2">
        <v>1.0</v>
      </c>
      <c r="BN103" s="2">
        <v>5.0</v>
      </c>
      <c r="BO103" s="2">
        <v>1.0</v>
      </c>
      <c r="BP103" s="2">
        <v>3.0</v>
      </c>
      <c r="BQ103" s="2" t="s">
        <v>390</v>
      </c>
      <c r="BR103" s="2" t="s">
        <v>391</v>
      </c>
      <c r="BS103" s="2" t="s">
        <v>393</v>
      </c>
      <c r="BT103" s="2" t="s">
        <v>394</v>
      </c>
      <c r="BU103" s="2" t="s">
        <v>519</v>
      </c>
      <c r="BV103" s="2" t="s">
        <v>396</v>
      </c>
      <c r="BW103" s="2" t="s">
        <v>33</v>
      </c>
      <c r="BX103" s="2" t="s">
        <v>33</v>
      </c>
      <c r="BY103" s="2" t="s">
        <v>33</v>
      </c>
      <c r="BZ103" s="2" t="s">
        <v>33</v>
      </c>
      <c r="CA103" s="2" t="s">
        <v>33</v>
      </c>
      <c r="CB103" s="2" t="s">
        <v>33</v>
      </c>
      <c r="CC103" s="2" t="s">
        <v>2010</v>
      </c>
      <c r="CD103" s="2">
        <v>6.0</v>
      </c>
      <c r="CE103" s="2" t="s">
        <v>794</v>
      </c>
      <c r="CF103" s="2" t="s">
        <v>899</v>
      </c>
      <c r="CG103" s="2" t="s">
        <v>1083</v>
      </c>
      <c r="CH103" s="2" t="s">
        <v>998</v>
      </c>
      <c r="CI103" s="2" t="s">
        <v>999</v>
      </c>
      <c r="CJ103" s="2" t="s">
        <v>33</v>
      </c>
      <c r="CK103" s="2" t="s">
        <v>2009</v>
      </c>
      <c r="CL103" s="2" t="s">
        <v>466</v>
      </c>
      <c r="CM103" s="2" t="s">
        <v>33</v>
      </c>
      <c r="CN103" s="2" t="s">
        <v>33</v>
      </c>
      <c r="CO103" s="2" t="s">
        <v>33</v>
      </c>
      <c r="CP103" s="2" t="s">
        <v>529</v>
      </c>
      <c r="CQ103" s="2" t="s">
        <v>369</v>
      </c>
      <c r="CR103" s="2" t="s">
        <v>442</v>
      </c>
      <c r="CS103" s="2" t="s">
        <v>529</v>
      </c>
      <c r="CT103" s="2" t="s">
        <v>368</v>
      </c>
      <c r="CU103" s="2" t="s">
        <v>372</v>
      </c>
    </row>
    <row r="104" ht="12.75" customHeight="1">
      <c r="A104" s="2">
        <v>103.0</v>
      </c>
      <c r="B104" s="2">
        <v>1.0</v>
      </c>
      <c r="C104" s="2" t="s">
        <v>358</v>
      </c>
      <c r="D104" s="2" t="s">
        <v>359</v>
      </c>
      <c r="E104" s="2" t="s">
        <v>473</v>
      </c>
      <c r="F104" s="2" t="s">
        <v>437</v>
      </c>
      <c r="G104" s="2" t="s">
        <v>437</v>
      </c>
      <c r="H104" s="2" t="s">
        <v>540</v>
      </c>
      <c r="I104" s="2" t="s">
        <v>125</v>
      </c>
      <c r="J104" s="2" t="s">
        <v>125</v>
      </c>
      <c r="K104" s="2" t="s">
        <v>366</v>
      </c>
      <c r="L104" s="2" t="s">
        <v>1056</v>
      </c>
      <c r="M104" s="2" t="s">
        <v>368</v>
      </c>
      <c r="N104" s="2" t="s">
        <v>369</v>
      </c>
      <c r="O104" s="2" t="s">
        <v>442</v>
      </c>
      <c r="P104" s="2" t="s">
        <v>372</v>
      </c>
      <c r="Q104" s="2" t="s">
        <v>480</v>
      </c>
      <c r="R104" s="2" t="s">
        <v>480</v>
      </c>
      <c r="S104" s="2" t="s">
        <v>376</v>
      </c>
      <c r="T104" s="2" t="s">
        <v>376</v>
      </c>
      <c r="U104" s="2" t="s">
        <v>376</v>
      </c>
      <c r="V104" s="2" t="s">
        <v>376</v>
      </c>
      <c r="W104" s="2" t="s">
        <v>444</v>
      </c>
      <c r="X104" s="2" t="s">
        <v>444</v>
      </c>
      <c r="Y104" s="2" t="s">
        <v>444</v>
      </c>
      <c r="Z104" s="2" t="s">
        <v>444</v>
      </c>
      <c r="AA104" s="2" t="s">
        <v>986</v>
      </c>
      <c r="AB104" s="2" t="s">
        <v>1960</v>
      </c>
      <c r="AC104" s="2" t="s">
        <v>450</v>
      </c>
      <c r="AD104" s="2" t="s">
        <v>451</v>
      </c>
      <c r="AE104" s="2" t="s">
        <v>386</v>
      </c>
      <c r="AF104" s="2" t="s">
        <v>387</v>
      </c>
      <c r="AG104" s="2" t="s">
        <v>388</v>
      </c>
      <c r="AH104" s="2" t="s">
        <v>455</v>
      </c>
      <c r="AI104" s="2" t="s">
        <v>33</v>
      </c>
      <c r="AJ104" s="2" t="s">
        <v>33</v>
      </c>
      <c r="AK104" s="2" t="s">
        <v>33</v>
      </c>
      <c r="AL104" s="2">
        <v>1.0</v>
      </c>
      <c r="AM104" s="2">
        <v>5.0</v>
      </c>
      <c r="AN104" s="2">
        <v>2.0</v>
      </c>
      <c r="AO104" s="2">
        <v>2.0</v>
      </c>
      <c r="AP104" s="2">
        <v>2.0</v>
      </c>
      <c r="AQ104" s="2">
        <v>3.0</v>
      </c>
      <c r="AR104" s="2">
        <v>3.0</v>
      </c>
      <c r="AS104" s="2">
        <v>3.0</v>
      </c>
      <c r="AT104" s="2">
        <v>3.0</v>
      </c>
      <c r="AU104" s="2">
        <v>4.0</v>
      </c>
      <c r="AV104" s="2">
        <v>4.0</v>
      </c>
      <c r="AW104" s="2">
        <v>4.0</v>
      </c>
      <c r="AX104" s="2">
        <v>1.0</v>
      </c>
      <c r="AY104" s="2">
        <v>3.0</v>
      </c>
      <c r="AZ104" s="2">
        <v>1.0</v>
      </c>
      <c r="BA104" s="2">
        <v>5.0</v>
      </c>
      <c r="BB104" s="2">
        <v>1.0</v>
      </c>
      <c r="BC104" s="2">
        <v>3.0</v>
      </c>
      <c r="BD104" s="2">
        <v>1.0</v>
      </c>
      <c r="BE104" s="2">
        <v>5.0</v>
      </c>
      <c r="BF104" s="2">
        <v>2.0</v>
      </c>
      <c r="BG104" s="2">
        <v>1.0</v>
      </c>
      <c r="BH104" s="2">
        <v>1.0</v>
      </c>
      <c r="BI104" s="2">
        <v>1.0</v>
      </c>
      <c r="BJ104" s="2">
        <v>1.0</v>
      </c>
      <c r="BK104" s="2">
        <v>1.0</v>
      </c>
      <c r="BL104" s="2">
        <v>2.0</v>
      </c>
      <c r="BM104" s="2">
        <v>1.0</v>
      </c>
      <c r="BN104" s="2">
        <v>5.0</v>
      </c>
      <c r="BO104" s="2">
        <v>1.0</v>
      </c>
      <c r="BP104" s="2">
        <v>2.0</v>
      </c>
      <c r="BQ104" s="2" t="s">
        <v>389</v>
      </c>
      <c r="BR104" s="2" t="s">
        <v>390</v>
      </c>
      <c r="BS104" s="2" t="s">
        <v>391</v>
      </c>
      <c r="BT104" s="2" t="s">
        <v>392</v>
      </c>
      <c r="BU104" s="2" t="s">
        <v>393</v>
      </c>
      <c r="BV104" s="2" t="s">
        <v>394</v>
      </c>
      <c r="BW104" s="2" t="s">
        <v>395</v>
      </c>
      <c r="BX104" s="2" t="s">
        <v>396</v>
      </c>
      <c r="BY104" s="2" t="s">
        <v>33</v>
      </c>
      <c r="BZ104" s="2" t="s">
        <v>33</v>
      </c>
      <c r="CA104" s="2" t="s">
        <v>33</v>
      </c>
      <c r="CB104" s="2" t="s">
        <v>33</v>
      </c>
      <c r="CC104" s="2" t="s">
        <v>2011</v>
      </c>
      <c r="CD104" s="2">
        <v>5.0</v>
      </c>
      <c r="CE104" s="2" t="s">
        <v>794</v>
      </c>
      <c r="CF104" s="2" t="s">
        <v>899</v>
      </c>
      <c r="CG104" s="2" t="s">
        <v>1083</v>
      </c>
      <c r="CH104" s="2" t="s">
        <v>1019</v>
      </c>
      <c r="CI104" s="2" t="s">
        <v>999</v>
      </c>
      <c r="CJ104" s="2" t="s">
        <v>33</v>
      </c>
      <c r="CK104" s="2" t="s">
        <v>125</v>
      </c>
      <c r="CL104" s="2" t="s">
        <v>466</v>
      </c>
      <c r="CM104" s="2" t="s">
        <v>33</v>
      </c>
      <c r="CN104" s="2" t="s">
        <v>33</v>
      </c>
      <c r="CO104" s="2" t="s">
        <v>33</v>
      </c>
      <c r="CP104" s="2" t="s">
        <v>529</v>
      </c>
      <c r="CQ104" s="2" t="s">
        <v>369</v>
      </c>
      <c r="CR104" s="2" t="s">
        <v>442</v>
      </c>
      <c r="CS104" s="2" t="s">
        <v>529</v>
      </c>
      <c r="CT104" s="2" t="s">
        <v>368</v>
      </c>
      <c r="CU104" s="2" t="s">
        <v>372</v>
      </c>
    </row>
    <row r="105" ht="12.75" customHeight="1">
      <c r="A105" s="2">
        <v>104.0</v>
      </c>
      <c r="B105" s="2">
        <v>4.0</v>
      </c>
      <c r="C105" s="2" t="s">
        <v>2012</v>
      </c>
      <c r="D105" s="2" t="s">
        <v>359</v>
      </c>
      <c r="E105" s="2" t="s">
        <v>360</v>
      </c>
      <c r="F105" s="2" t="s">
        <v>539</v>
      </c>
      <c r="G105" s="2" t="s">
        <v>539</v>
      </c>
      <c r="H105" s="2" t="s">
        <v>540</v>
      </c>
      <c r="I105" s="2" t="s">
        <v>425</v>
      </c>
      <c r="J105" s="2" t="s">
        <v>365</v>
      </c>
      <c r="K105" s="2" t="s">
        <v>366</v>
      </c>
      <c r="L105" s="2" t="s">
        <v>367</v>
      </c>
      <c r="M105" s="2" t="s">
        <v>645</v>
      </c>
      <c r="N105" s="2" t="s">
        <v>802</v>
      </c>
      <c r="O105" s="2" t="s">
        <v>442</v>
      </c>
      <c r="P105" s="2" t="s">
        <v>372</v>
      </c>
      <c r="Q105" s="2" t="s">
        <v>480</v>
      </c>
      <c r="R105" s="2" t="s">
        <v>480</v>
      </c>
      <c r="S105" s="2" t="s">
        <v>378</v>
      </c>
      <c r="T105" s="2" t="s">
        <v>378</v>
      </c>
      <c r="U105" s="2" t="s">
        <v>378</v>
      </c>
      <c r="V105" s="2" t="s">
        <v>378</v>
      </c>
      <c r="W105" s="2" t="s">
        <v>376</v>
      </c>
      <c r="X105" s="2" t="s">
        <v>444</v>
      </c>
      <c r="Y105" s="2" t="s">
        <v>378</v>
      </c>
      <c r="Z105" s="2" t="s">
        <v>378</v>
      </c>
      <c r="AA105" s="2" t="s">
        <v>382</v>
      </c>
      <c r="AB105" s="2" t="s">
        <v>551</v>
      </c>
      <c r="AC105" s="2" t="s">
        <v>806</v>
      </c>
      <c r="AD105" s="2" t="s">
        <v>33</v>
      </c>
      <c r="AE105" s="2" t="s">
        <v>33</v>
      </c>
      <c r="AF105" s="2" t="s">
        <v>33</v>
      </c>
      <c r="AG105" s="2" t="s">
        <v>33</v>
      </c>
      <c r="AH105" s="2" t="s">
        <v>33</v>
      </c>
      <c r="AI105" s="2" t="s">
        <v>33</v>
      </c>
      <c r="AJ105" s="2" t="s">
        <v>33</v>
      </c>
      <c r="AK105" s="2" t="s">
        <v>33</v>
      </c>
      <c r="AL105" s="2">
        <v>3.0</v>
      </c>
      <c r="AM105" s="2">
        <v>5.0</v>
      </c>
      <c r="AN105" s="2">
        <v>3.0</v>
      </c>
      <c r="AO105" s="2">
        <v>3.0</v>
      </c>
      <c r="AP105" s="2">
        <v>3.0</v>
      </c>
      <c r="AQ105" s="2">
        <v>1.0</v>
      </c>
      <c r="AR105" s="2">
        <v>3.0</v>
      </c>
      <c r="AS105" s="2">
        <v>3.0</v>
      </c>
      <c r="AT105" s="2">
        <v>3.0</v>
      </c>
      <c r="AU105" s="2">
        <v>1.0</v>
      </c>
      <c r="AV105" s="2">
        <v>1.0</v>
      </c>
      <c r="AW105" s="2">
        <v>1.0</v>
      </c>
      <c r="AX105" s="2">
        <v>1.0</v>
      </c>
      <c r="AY105" s="2">
        <v>1.0</v>
      </c>
      <c r="AZ105" s="2">
        <v>1.0</v>
      </c>
      <c r="BA105" s="2">
        <v>1.0</v>
      </c>
      <c r="BB105" s="2">
        <v>1.0</v>
      </c>
      <c r="BC105" s="2">
        <v>1.0</v>
      </c>
      <c r="BD105" s="2">
        <v>1.0</v>
      </c>
      <c r="BE105" s="2">
        <v>5.0</v>
      </c>
      <c r="BF105" s="2">
        <v>1.0</v>
      </c>
      <c r="BG105" s="2">
        <v>1.0</v>
      </c>
      <c r="BH105" s="2">
        <v>5.0</v>
      </c>
      <c r="BI105" s="2">
        <v>1.0</v>
      </c>
      <c r="BJ105" s="2">
        <v>1.0</v>
      </c>
      <c r="BK105" s="2">
        <v>1.0</v>
      </c>
      <c r="BL105" s="2">
        <v>1.0</v>
      </c>
      <c r="BM105" s="2">
        <v>1.0</v>
      </c>
      <c r="BN105" s="2">
        <v>5.0</v>
      </c>
      <c r="BO105" s="2">
        <v>1.0</v>
      </c>
      <c r="BP105" s="2">
        <v>1.0</v>
      </c>
      <c r="BQ105" s="2" t="s">
        <v>568</v>
      </c>
      <c r="BR105" s="2" t="s">
        <v>389</v>
      </c>
      <c r="BS105" s="2" t="s">
        <v>390</v>
      </c>
      <c r="BT105" s="2" t="s">
        <v>391</v>
      </c>
      <c r="BU105" s="2" t="s">
        <v>392</v>
      </c>
      <c r="BV105" s="2" t="s">
        <v>393</v>
      </c>
      <c r="BW105" s="2" t="s">
        <v>33</v>
      </c>
      <c r="BX105" s="2" t="s">
        <v>33</v>
      </c>
      <c r="BY105" s="2" t="s">
        <v>33</v>
      </c>
      <c r="BZ105" s="2" t="s">
        <v>33</v>
      </c>
      <c r="CA105" s="2" t="s">
        <v>33</v>
      </c>
      <c r="CB105" s="2" t="s">
        <v>33</v>
      </c>
      <c r="CC105" s="3" t="s">
        <v>2013</v>
      </c>
      <c r="CD105" s="2">
        <v>1.0</v>
      </c>
      <c r="CE105" s="2" t="s">
        <v>2014</v>
      </c>
      <c r="CF105" s="2" t="s">
        <v>33</v>
      </c>
      <c r="CG105" s="2" t="s">
        <v>33</v>
      </c>
      <c r="CH105" s="2" t="s">
        <v>33</v>
      </c>
      <c r="CI105" s="2" t="s">
        <v>33</v>
      </c>
      <c r="CJ105" s="2" t="s">
        <v>33</v>
      </c>
      <c r="CK105" s="2" t="s">
        <v>425</v>
      </c>
      <c r="CL105" s="2" t="s">
        <v>367</v>
      </c>
      <c r="CM105" s="4">
        <v>45717.0</v>
      </c>
      <c r="CN105" s="4">
        <v>45717.0</v>
      </c>
      <c r="CO105" s="2">
        <v>1.0</v>
      </c>
      <c r="CP105" s="2" t="s">
        <v>529</v>
      </c>
      <c r="CQ105" s="2" t="s">
        <v>802</v>
      </c>
      <c r="CR105" s="2" t="s">
        <v>442</v>
      </c>
      <c r="CS105" s="2" t="s">
        <v>529</v>
      </c>
      <c r="CT105" s="2" t="s">
        <v>645</v>
      </c>
      <c r="CU105" s="2" t="s">
        <v>372</v>
      </c>
    </row>
    <row r="106" ht="12.75" customHeight="1">
      <c r="A106" s="2">
        <v>105.0</v>
      </c>
      <c r="B106" s="2">
        <v>2.0</v>
      </c>
      <c r="C106" s="2" t="s">
        <v>358</v>
      </c>
      <c r="D106" s="2" t="s">
        <v>359</v>
      </c>
      <c r="E106" s="2" t="s">
        <v>360</v>
      </c>
      <c r="F106" s="2" t="s">
        <v>361</v>
      </c>
      <c r="G106" s="2" t="s">
        <v>361</v>
      </c>
      <c r="H106" s="2" t="s">
        <v>540</v>
      </c>
      <c r="I106" s="2" t="s">
        <v>1932</v>
      </c>
      <c r="J106" s="2" t="s">
        <v>599</v>
      </c>
      <c r="K106" s="2" t="s">
        <v>366</v>
      </c>
      <c r="L106" s="2" t="s">
        <v>599</v>
      </c>
      <c r="M106" s="2" t="s">
        <v>368</v>
      </c>
      <c r="N106" s="2" t="s">
        <v>369</v>
      </c>
      <c r="O106" s="2" t="s">
        <v>442</v>
      </c>
      <c r="P106" s="2" t="s">
        <v>762</v>
      </c>
      <c r="Q106" s="2" t="s">
        <v>361</v>
      </c>
      <c r="R106" s="2" t="s">
        <v>361</v>
      </c>
      <c r="S106" s="2" t="s">
        <v>378</v>
      </c>
      <c r="T106" s="2" t="s">
        <v>378</v>
      </c>
      <c r="U106" s="2" t="s">
        <v>376</v>
      </c>
      <c r="V106" s="2" t="s">
        <v>376</v>
      </c>
      <c r="W106" s="2" t="s">
        <v>376</v>
      </c>
      <c r="X106" s="2" t="s">
        <v>444</v>
      </c>
      <c r="Y106" s="2" t="s">
        <v>378</v>
      </c>
      <c r="Z106" s="2" t="s">
        <v>376</v>
      </c>
      <c r="AA106" s="2" t="s">
        <v>447</v>
      </c>
      <c r="AB106" s="2" t="s">
        <v>551</v>
      </c>
      <c r="AC106" s="2" t="s">
        <v>450</v>
      </c>
      <c r="AD106" s="2" t="s">
        <v>388</v>
      </c>
      <c r="AE106" s="2" t="s">
        <v>33</v>
      </c>
      <c r="AF106" s="2" t="s">
        <v>33</v>
      </c>
      <c r="AG106" s="2" t="s">
        <v>33</v>
      </c>
      <c r="AH106" s="2" t="s">
        <v>33</v>
      </c>
      <c r="AI106" s="2" t="s">
        <v>33</v>
      </c>
      <c r="AJ106" s="2" t="s">
        <v>33</v>
      </c>
      <c r="AK106" s="2" t="s">
        <v>33</v>
      </c>
      <c r="AL106" s="2">
        <v>3.0</v>
      </c>
      <c r="AM106" s="2">
        <v>1.0</v>
      </c>
      <c r="AN106" s="2">
        <v>2.0</v>
      </c>
      <c r="AO106" s="2">
        <v>4.0</v>
      </c>
      <c r="AP106" s="2">
        <v>4.0</v>
      </c>
      <c r="AQ106" s="2">
        <v>1.0</v>
      </c>
      <c r="AR106" s="2">
        <v>1.0</v>
      </c>
      <c r="AS106" s="2">
        <v>1.0</v>
      </c>
      <c r="AT106" s="2">
        <v>1.0</v>
      </c>
      <c r="AU106" s="2">
        <v>1.0</v>
      </c>
      <c r="AV106" s="2">
        <v>4.0</v>
      </c>
      <c r="AW106" s="2">
        <v>4.0</v>
      </c>
      <c r="AX106" s="2">
        <v>4.0</v>
      </c>
      <c r="AY106" s="2">
        <v>4.0</v>
      </c>
      <c r="AZ106" s="2">
        <v>3.0</v>
      </c>
      <c r="BA106" s="2">
        <v>2.0</v>
      </c>
      <c r="BB106" s="2">
        <v>1.0</v>
      </c>
      <c r="BC106" s="2">
        <v>4.0</v>
      </c>
      <c r="BD106" s="2">
        <v>5.0</v>
      </c>
      <c r="BE106" s="2">
        <v>5.0</v>
      </c>
      <c r="BF106" s="2">
        <v>1.0</v>
      </c>
      <c r="BG106" s="2">
        <v>2.0</v>
      </c>
      <c r="BH106" s="2">
        <v>1.0</v>
      </c>
      <c r="BI106" s="2">
        <v>1.0</v>
      </c>
      <c r="BJ106" s="2">
        <v>1.0</v>
      </c>
      <c r="BK106" s="2">
        <v>1.0</v>
      </c>
      <c r="BL106" s="2">
        <v>1.0</v>
      </c>
      <c r="BM106" s="2">
        <v>1.0</v>
      </c>
      <c r="BN106" s="2">
        <v>2.0</v>
      </c>
      <c r="BO106" s="2">
        <v>1.0</v>
      </c>
      <c r="BP106" s="2">
        <v>1.0</v>
      </c>
      <c r="BQ106" s="2" t="s">
        <v>389</v>
      </c>
      <c r="BR106" s="2" t="s">
        <v>390</v>
      </c>
      <c r="BS106" s="2" t="s">
        <v>392</v>
      </c>
      <c r="BT106" s="2" t="s">
        <v>393</v>
      </c>
      <c r="BU106" s="2" t="s">
        <v>396</v>
      </c>
      <c r="BV106" s="2" t="s">
        <v>33</v>
      </c>
      <c r="BW106" s="2" t="s">
        <v>33</v>
      </c>
      <c r="BX106" s="2" t="s">
        <v>33</v>
      </c>
      <c r="BY106" s="2" t="s">
        <v>33</v>
      </c>
      <c r="BZ106" s="2" t="s">
        <v>33</v>
      </c>
      <c r="CA106" s="2" t="s">
        <v>33</v>
      </c>
      <c r="CB106" s="2" t="s">
        <v>33</v>
      </c>
      <c r="CC106" s="2" t="s">
        <v>2015</v>
      </c>
      <c r="CD106" s="2">
        <v>3.0</v>
      </c>
      <c r="CE106" s="2" t="s">
        <v>1172</v>
      </c>
      <c r="CF106" s="2" t="s">
        <v>1083</v>
      </c>
      <c r="CG106" s="2" t="s">
        <v>999</v>
      </c>
      <c r="CH106" s="2" t="s">
        <v>33</v>
      </c>
      <c r="CI106" s="2" t="s">
        <v>33</v>
      </c>
      <c r="CJ106" s="2" t="s">
        <v>33</v>
      </c>
      <c r="CK106" s="2" t="s">
        <v>1932</v>
      </c>
      <c r="CL106" s="2" t="s">
        <v>466</v>
      </c>
      <c r="CM106" s="2" t="s">
        <v>33</v>
      </c>
      <c r="CN106" s="2" t="s">
        <v>33</v>
      </c>
      <c r="CO106" s="2" t="s">
        <v>33</v>
      </c>
      <c r="CP106" s="2" t="s">
        <v>434</v>
      </c>
      <c r="CQ106" s="2" t="s">
        <v>369</v>
      </c>
      <c r="CR106" s="2" t="s">
        <v>442</v>
      </c>
      <c r="CS106" s="2" t="s">
        <v>434</v>
      </c>
      <c r="CT106" s="2" t="s">
        <v>368</v>
      </c>
      <c r="CU106" s="2" t="s">
        <v>762</v>
      </c>
    </row>
    <row r="107" ht="12.75" customHeight="1">
      <c r="A107" s="2">
        <v>106.0</v>
      </c>
      <c r="B107" s="2">
        <v>6.0</v>
      </c>
      <c r="C107" s="2" t="s">
        <v>358</v>
      </c>
      <c r="D107" s="2" t="s">
        <v>359</v>
      </c>
      <c r="E107" s="2" t="s">
        <v>360</v>
      </c>
      <c r="F107" s="2" t="s">
        <v>437</v>
      </c>
      <c r="G107" s="2" t="s">
        <v>437</v>
      </c>
      <c r="H107" s="2" t="s">
        <v>540</v>
      </c>
      <c r="I107" s="2" t="s">
        <v>859</v>
      </c>
      <c r="J107" s="2" t="s">
        <v>599</v>
      </c>
      <c r="K107" s="2" t="s">
        <v>366</v>
      </c>
      <c r="L107" s="2" t="s">
        <v>599</v>
      </c>
      <c r="M107" s="2" t="s">
        <v>645</v>
      </c>
      <c r="N107" s="2" t="s">
        <v>369</v>
      </c>
      <c r="O107" s="2" t="s">
        <v>442</v>
      </c>
      <c r="P107" s="2" t="s">
        <v>372</v>
      </c>
      <c r="Q107" s="2" t="s">
        <v>480</v>
      </c>
      <c r="R107" s="2" t="s">
        <v>480</v>
      </c>
      <c r="S107" s="2" t="s">
        <v>376</v>
      </c>
      <c r="T107" s="2" t="s">
        <v>378</v>
      </c>
      <c r="U107" s="2" t="s">
        <v>378</v>
      </c>
      <c r="V107" s="2" t="s">
        <v>378</v>
      </c>
      <c r="W107" s="2" t="s">
        <v>444</v>
      </c>
      <c r="X107" s="2" t="s">
        <v>378</v>
      </c>
      <c r="Y107" s="2" t="s">
        <v>378</v>
      </c>
      <c r="Z107" s="2" t="s">
        <v>378</v>
      </c>
      <c r="AA107" s="2" t="s">
        <v>382</v>
      </c>
      <c r="AB107" s="2" t="s">
        <v>2016</v>
      </c>
      <c r="AC107" s="2" t="s">
        <v>552</v>
      </c>
      <c r="AD107" s="2" t="s">
        <v>452</v>
      </c>
      <c r="AE107" s="2" t="s">
        <v>386</v>
      </c>
      <c r="AF107" s="2" t="s">
        <v>387</v>
      </c>
      <c r="AG107" s="2" t="s">
        <v>388</v>
      </c>
      <c r="AH107" s="2" t="s">
        <v>454</v>
      </c>
      <c r="AI107" s="2" t="s">
        <v>33</v>
      </c>
      <c r="AJ107" s="2" t="s">
        <v>33</v>
      </c>
      <c r="AK107" s="2" t="s">
        <v>33</v>
      </c>
      <c r="AL107" s="2">
        <v>2.0</v>
      </c>
      <c r="AM107" s="2">
        <v>2.0</v>
      </c>
      <c r="AN107" s="2">
        <v>2.0</v>
      </c>
      <c r="AO107" s="2">
        <v>3.0</v>
      </c>
      <c r="AP107" s="2">
        <v>3.0</v>
      </c>
      <c r="AQ107" s="2">
        <v>1.0</v>
      </c>
      <c r="AR107" s="2">
        <v>1.0</v>
      </c>
      <c r="AS107" s="2">
        <v>3.0</v>
      </c>
      <c r="AT107" s="2">
        <v>2.0</v>
      </c>
      <c r="AU107" s="2">
        <v>2.0</v>
      </c>
      <c r="AV107" s="2">
        <v>5.0</v>
      </c>
      <c r="AW107" s="2">
        <v>5.0</v>
      </c>
      <c r="AX107" s="2">
        <v>1.0</v>
      </c>
      <c r="AY107" s="2">
        <v>1.0</v>
      </c>
      <c r="AZ107" s="2">
        <v>4.0</v>
      </c>
      <c r="BA107" s="2">
        <v>5.0</v>
      </c>
      <c r="BB107" s="2">
        <v>1.0</v>
      </c>
      <c r="BC107" s="2">
        <v>1.0</v>
      </c>
      <c r="BD107" s="2">
        <v>1.0</v>
      </c>
      <c r="BE107" s="2">
        <v>5.0</v>
      </c>
      <c r="BF107" s="2">
        <v>3.0</v>
      </c>
      <c r="BG107" s="2">
        <v>1.0</v>
      </c>
      <c r="BH107" s="2">
        <v>1.0</v>
      </c>
      <c r="BI107" s="2">
        <v>1.0</v>
      </c>
      <c r="BJ107" s="2">
        <v>1.0</v>
      </c>
      <c r="BK107" s="2">
        <v>1.0</v>
      </c>
      <c r="BL107" s="2">
        <v>1.0</v>
      </c>
      <c r="BM107" s="2">
        <v>1.0</v>
      </c>
      <c r="BN107" s="2">
        <v>4.0</v>
      </c>
      <c r="BO107" s="2">
        <v>5.0</v>
      </c>
      <c r="BP107" s="2">
        <v>5.0</v>
      </c>
      <c r="BQ107" s="2" t="s">
        <v>389</v>
      </c>
      <c r="BR107" s="2" t="s">
        <v>390</v>
      </c>
      <c r="BS107" s="2" t="s">
        <v>392</v>
      </c>
      <c r="BT107" s="2" t="s">
        <v>393</v>
      </c>
      <c r="BU107" s="2" t="s">
        <v>394</v>
      </c>
      <c r="BV107" s="2" t="s">
        <v>396</v>
      </c>
      <c r="BW107" s="2" t="s">
        <v>33</v>
      </c>
      <c r="BX107" s="2" t="s">
        <v>33</v>
      </c>
      <c r="BY107" s="2" t="s">
        <v>33</v>
      </c>
      <c r="BZ107" s="2" t="s">
        <v>33</v>
      </c>
      <c r="CA107" s="2" t="s">
        <v>33</v>
      </c>
      <c r="CB107" s="2" t="s">
        <v>33</v>
      </c>
      <c r="CC107" s="2" t="s">
        <v>2017</v>
      </c>
      <c r="CD107" s="2">
        <v>5.0</v>
      </c>
      <c r="CE107" s="2" t="s">
        <v>794</v>
      </c>
      <c r="CF107" s="2" t="s">
        <v>952</v>
      </c>
      <c r="CG107" s="2" t="s">
        <v>998</v>
      </c>
      <c r="CH107" s="2" t="s">
        <v>999</v>
      </c>
      <c r="CI107" s="2" t="s">
        <v>33</v>
      </c>
      <c r="CJ107" s="2" t="s">
        <v>33</v>
      </c>
      <c r="CK107" s="2" t="s">
        <v>859</v>
      </c>
      <c r="CL107" s="2" t="s">
        <v>466</v>
      </c>
      <c r="CM107" s="4">
        <v>45717.0</v>
      </c>
      <c r="CN107" s="4">
        <v>45721.0</v>
      </c>
      <c r="CO107" s="2">
        <v>5.0</v>
      </c>
      <c r="CP107" s="2" t="s">
        <v>529</v>
      </c>
      <c r="CQ107" s="2" t="s">
        <v>369</v>
      </c>
      <c r="CR107" s="2" t="s">
        <v>442</v>
      </c>
      <c r="CS107" s="2" t="s">
        <v>529</v>
      </c>
      <c r="CT107" s="2" t="s">
        <v>645</v>
      </c>
      <c r="CU107" s="2" t="s">
        <v>372</v>
      </c>
    </row>
    <row r="108" ht="12.75" customHeight="1">
      <c r="A108" s="2">
        <v>107.0</v>
      </c>
      <c r="B108" s="2">
        <v>2.0</v>
      </c>
      <c r="C108" s="2" t="s">
        <v>358</v>
      </c>
      <c r="D108" s="2" t="s">
        <v>359</v>
      </c>
      <c r="E108" s="2" t="s">
        <v>360</v>
      </c>
      <c r="F108" s="2" t="s">
        <v>437</v>
      </c>
      <c r="G108" s="2" t="s">
        <v>437</v>
      </c>
      <c r="H108" s="2" t="s">
        <v>362</v>
      </c>
      <c r="I108" s="2" t="s">
        <v>2018</v>
      </c>
      <c r="J108" s="2" t="s">
        <v>2019</v>
      </c>
      <c r="K108" s="2" t="s">
        <v>2019</v>
      </c>
      <c r="L108" s="2" t="s">
        <v>984</v>
      </c>
      <c r="M108" s="2" t="s">
        <v>645</v>
      </c>
      <c r="N108" s="2" t="s">
        <v>802</v>
      </c>
      <c r="O108" s="2" t="s">
        <v>442</v>
      </c>
      <c r="P108" s="2" t="s">
        <v>372</v>
      </c>
      <c r="Q108" s="2" t="s">
        <v>480</v>
      </c>
      <c r="R108" s="2" t="s">
        <v>480</v>
      </c>
      <c r="S108" s="2" t="s">
        <v>378</v>
      </c>
      <c r="T108" s="2" t="s">
        <v>376</v>
      </c>
      <c r="U108" s="2" t="s">
        <v>378</v>
      </c>
      <c r="V108" s="2" t="s">
        <v>378</v>
      </c>
      <c r="W108" s="2" t="s">
        <v>378</v>
      </c>
      <c r="X108" s="2" t="s">
        <v>378</v>
      </c>
      <c r="Y108" s="2" t="s">
        <v>378</v>
      </c>
      <c r="Z108" s="2" t="s">
        <v>444</v>
      </c>
      <c r="AA108" s="2" t="s">
        <v>382</v>
      </c>
      <c r="AB108" s="2" t="s">
        <v>359</v>
      </c>
      <c r="AC108" s="2" t="s">
        <v>552</v>
      </c>
      <c r="AD108" s="2" t="s">
        <v>452</v>
      </c>
      <c r="AE108" s="2" t="s">
        <v>387</v>
      </c>
      <c r="AF108" s="2" t="s">
        <v>388</v>
      </c>
      <c r="AG108" s="2" t="s">
        <v>454</v>
      </c>
      <c r="AH108" s="2" t="s">
        <v>455</v>
      </c>
      <c r="AI108" s="2" t="s">
        <v>33</v>
      </c>
      <c r="AJ108" s="2" t="s">
        <v>33</v>
      </c>
      <c r="AK108" s="2" t="s">
        <v>33</v>
      </c>
      <c r="AL108" s="2">
        <v>3.0</v>
      </c>
      <c r="AM108" s="2">
        <v>2.0</v>
      </c>
      <c r="AN108" s="2">
        <v>1.0</v>
      </c>
      <c r="AO108" s="2">
        <v>2.0</v>
      </c>
      <c r="AP108" s="2">
        <v>3.0</v>
      </c>
      <c r="AQ108" s="2">
        <v>2.0</v>
      </c>
      <c r="AR108" s="2">
        <v>3.0</v>
      </c>
      <c r="AS108" s="2">
        <v>4.0</v>
      </c>
      <c r="AT108" s="2">
        <v>4.0</v>
      </c>
      <c r="AU108" s="2">
        <v>3.0</v>
      </c>
      <c r="AV108" s="2">
        <v>3.0</v>
      </c>
      <c r="AW108" s="2">
        <v>3.0</v>
      </c>
      <c r="AX108" s="2">
        <v>2.0</v>
      </c>
      <c r="AY108" s="2">
        <v>3.0</v>
      </c>
      <c r="AZ108" s="2">
        <v>5.0</v>
      </c>
      <c r="BA108" s="2">
        <v>3.0</v>
      </c>
      <c r="BB108" s="2">
        <v>3.0</v>
      </c>
      <c r="BC108" s="2">
        <v>1.0</v>
      </c>
      <c r="BD108" s="2">
        <v>3.0</v>
      </c>
      <c r="BE108" s="2">
        <v>4.0</v>
      </c>
      <c r="BF108" s="2">
        <v>2.0</v>
      </c>
      <c r="BG108" s="2">
        <v>2.0</v>
      </c>
      <c r="BH108" s="2">
        <v>1.0</v>
      </c>
      <c r="BI108" s="2">
        <v>1.0</v>
      </c>
      <c r="BJ108" s="2">
        <v>1.0</v>
      </c>
      <c r="BK108" s="2">
        <v>1.0</v>
      </c>
      <c r="BL108" s="2">
        <v>2.0</v>
      </c>
      <c r="BM108" s="2">
        <v>1.0</v>
      </c>
      <c r="BN108" s="2">
        <v>2.0</v>
      </c>
      <c r="BO108" s="2">
        <v>3.0</v>
      </c>
      <c r="BP108" s="2">
        <v>5.0</v>
      </c>
      <c r="BQ108" s="2" t="s">
        <v>390</v>
      </c>
      <c r="BR108" s="2" t="s">
        <v>391</v>
      </c>
      <c r="BS108" s="2" t="s">
        <v>392</v>
      </c>
      <c r="BT108" s="2" t="s">
        <v>394</v>
      </c>
      <c r="BU108" s="2" t="s">
        <v>396</v>
      </c>
      <c r="BV108" s="2" t="s">
        <v>573</v>
      </c>
      <c r="BW108" s="2" t="s">
        <v>33</v>
      </c>
      <c r="BX108" s="2" t="s">
        <v>33</v>
      </c>
      <c r="BY108" s="2" t="s">
        <v>33</v>
      </c>
      <c r="BZ108" s="2" t="s">
        <v>33</v>
      </c>
      <c r="CA108" s="2" t="s">
        <v>33</v>
      </c>
      <c r="CB108" s="2" t="s">
        <v>33</v>
      </c>
      <c r="CC108" s="2" t="s">
        <v>2020</v>
      </c>
      <c r="CD108" s="2">
        <v>6.0</v>
      </c>
      <c r="CE108" s="2" t="s">
        <v>794</v>
      </c>
      <c r="CF108" s="2" t="s">
        <v>899</v>
      </c>
      <c r="CG108" s="2" t="s">
        <v>998</v>
      </c>
      <c r="CH108" s="2" t="s">
        <v>999</v>
      </c>
      <c r="CI108" s="2" t="s">
        <v>33</v>
      </c>
      <c r="CJ108" s="2" t="s">
        <v>33</v>
      </c>
      <c r="CK108" s="2" t="s">
        <v>2018</v>
      </c>
      <c r="CL108" s="2" t="s">
        <v>466</v>
      </c>
      <c r="CM108" s="2" t="s">
        <v>33</v>
      </c>
      <c r="CN108" s="2" t="s">
        <v>33</v>
      </c>
      <c r="CO108" s="2" t="s">
        <v>33</v>
      </c>
      <c r="CP108" s="2" t="s">
        <v>529</v>
      </c>
      <c r="CQ108" s="2" t="s">
        <v>802</v>
      </c>
      <c r="CR108" s="2" t="s">
        <v>442</v>
      </c>
      <c r="CS108" s="2" t="s">
        <v>529</v>
      </c>
      <c r="CT108" s="2" t="s">
        <v>645</v>
      </c>
      <c r="CU108" s="2" t="s">
        <v>372</v>
      </c>
    </row>
    <row r="109" ht="12.75" customHeight="1">
      <c r="A109" s="2">
        <v>108.0</v>
      </c>
      <c r="B109" s="2">
        <v>2.0</v>
      </c>
      <c r="C109" s="2" t="s">
        <v>358</v>
      </c>
      <c r="D109" s="2" t="s">
        <v>359</v>
      </c>
      <c r="E109" s="2" t="s">
        <v>360</v>
      </c>
      <c r="F109" s="2" t="s">
        <v>539</v>
      </c>
      <c r="G109" s="2" t="s">
        <v>539</v>
      </c>
      <c r="H109" s="2" t="s">
        <v>540</v>
      </c>
      <c r="I109" s="2" t="s">
        <v>2021</v>
      </c>
      <c r="J109" s="2" t="s">
        <v>2022</v>
      </c>
      <c r="K109" s="2" t="s">
        <v>2022</v>
      </c>
      <c r="L109" s="2" t="s">
        <v>984</v>
      </c>
      <c r="M109" s="2" t="s">
        <v>645</v>
      </c>
      <c r="N109" s="2" t="s">
        <v>441</v>
      </c>
      <c r="O109" s="2" t="s">
        <v>442</v>
      </c>
      <c r="P109" s="2" t="s">
        <v>372</v>
      </c>
      <c r="Q109" s="2" t="s">
        <v>606</v>
      </c>
      <c r="R109" s="2" t="s">
        <v>2023</v>
      </c>
      <c r="S109" s="2" t="s">
        <v>378</v>
      </c>
      <c r="T109" s="2" t="s">
        <v>376</v>
      </c>
      <c r="U109" s="2" t="s">
        <v>376</v>
      </c>
      <c r="V109" s="2" t="s">
        <v>376</v>
      </c>
      <c r="W109" s="2" t="s">
        <v>444</v>
      </c>
      <c r="X109" s="2" t="s">
        <v>378</v>
      </c>
      <c r="Y109" s="2" t="s">
        <v>444</v>
      </c>
      <c r="Z109" s="2" t="s">
        <v>378</v>
      </c>
      <c r="AA109" s="2" t="s">
        <v>864</v>
      </c>
      <c r="AB109" s="2" t="s">
        <v>359</v>
      </c>
      <c r="AC109" s="2" t="s">
        <v>450</v>
      </c>
      <c r="AD109" s="2" t="s">
        <v>451</v>
      </c>
      <c r="AE109" s="2" t="s">
        <v>452</v>
      </c>
      <c r="AF109" s="2" t="s">
        <v>386</v>
      </c>
      <c r="AG109" s="2" t="s">
        <v>387</v>
      </c>
      <c r="AH109" s="2" t="s">
        <v>388</v>
      </c>
      <c r="AI109" s="2" t="s">
        <v>33</v>
      </c>
      <c r="AJ109" s="2" t="s">
        <v>33</v>
      </c>
      <c r="AK109" s="2" t="s">
        <v>33</v>
      </c>
      <c r="AL109" s="2">
        <v>3.0</v>
      </c>
      <c r="AM109" s="2">
        <v>4.0</v>
      </c>
      <c r="AN109" s="2">
        <v>1.0</v>
      </c>
      <c r="AO109" s="2">
        <v>4.0</v>
      </c>
      <c r="AP109" s="2">
        <v>2.0</v>
      </c>
      <c r="AQ109" s="2">
        <v>1.0</v>
      </c>
      <c r="AR109" s="2">
        <v>4.0</v>
      </c>
      <c r="AS109" s="2">
        <v>5.0</v>
      </c>
      <c r="AT109" s="2">
        <v>2.0</v>
      </c>
      <c r="AU109" s="2">
        <v>3.0</v>
      </c>
      <c r="AV109" s="2">
        <v>5.0</v>
      </c>
      <c r="AW109" s="2">
        <v>3.0</v>
      </c>
      <c r="AX109" s="2">
        <v>4.0</v>
      </c>
      <c r="AY109" s="2">
        <v>4.0</v>
      </c>
      <c r="AZ109" s="2">
        <v>3.0</v>
      </c>
      <c r="BA109" s="2">
        <v>5.0</v>
      </c>
      <c r="BB109" s="2">
        <v>4.0</v>
      </c>
      <c r="BC109" s="2">
        <v>4.0</v>
      </c>
      <c r="BD109" s="2">
        <v>4.0</v>
      </c>
      <c r="BE109" s="2">
        <v>3.0</v>
      </c>
      <c r="BF109" s="2">
        <v>1.0</v>
      </c>
      <c r="BG109" s="2">
        <v>1.0</v>
      </c>
      <c r="BH109" s="2">
        <v>1.0</v>
      </c>
      <c r="BI109" s="2">
        <v>1.0</v>
      </c>
      <c r="BJ109" s="2">
        <v>1.0</v>
      </c>
      <c r="BK109" s="2">
        <v>2.0</v>
      </c>
      <c r="BL109" s="2">
        <v>1.0</v>
      </c>
      <c r="BM109" s="2">
        <v>1.0</v>
      </c>
      <c r="BN109" s="2">
        <v>2.0</v>
      </c>
      <c r="BO109" s="2">
        <v>1.0</v>
      </c>
      <c r="BP109" s="2">
        <v>1.0</v>
      </c>
      <c r="BQ109" s="2" t="s">
        <v>568</v>
      </c>
      <c r="BR109" s="2" t="s">
        <v>389</v>
      </c>
      <c r="BS109" s="2" t="s">
        <v>390</v>
      </c>
      <c r="BT109" s="2" t="s">
        <v>391</v>
      </c>
      <c r="BU109" s="2" t="s">
        <v>393</v>
      </c>
      <c r="BV109" s="2" t="s">
        <v>394</v>
      </c>
      <c r="BW109" s="2" t="s">
        <v>395</v>
      </c>
      <c r="BX109" s="2" t="s">
        <v>519</v>
      </c>
      <c r="BY109" s="2" t="s">
        <v>396</v>
      </c>
      <c r="BZ109" s="2" t="s">
        <v>730</v>
      </c>
      <c r="CA109" s="2" t="s">
        <v>33</v>
      </c>
      <c r="CB109" s="2" t="s">
        <v>33</v>
      </c>
      <c r="CC109" s="2" t="s">
        <v>2024</v>
      </c>
      <c r="CD109" s="2">
        <v>5.0</v>
      </c>
      <c r="CE109" s="2" t="s">
        <v>794</v>
      </c>
      <c r="CF109" s="2" t="s">
        <v>952</v>
      </c>
      <c r="CG109" s="2" t="s">
        <v>1019</v>
      </c>
      <c r="CH109" s="2" t="s">
        <v>999</v>
      </c>
      <c r="CI109" s="2" t="s">
        <v>33</v>
      </c>
      <c r="CJ109" s="2" t="s">
        <v>33</v>
      </c>
      <c r="CK109" s="2" t="s">
        <v>2025</v>
      </c>
      <c r="CL109" s="2" t="s">
        <v>466</v>
      </c>
      <c r="CM109" s="4">
        <v>45728.0</v>
      </c>
      <c r="CN109" s="4">
        <v>45733.0</v>
      </c>
      <c r="CO109" s="2">
        <v>6.0</v>
      </c>
      <c r="CP109" s="2" t="s">
        <v>434</v>
      </c>
      <c r="CQ109" s="2" t="s">
        <v>441</v>
      </c>
      <c r="CR109" s="2" t="s">
        <v>442</v>
      </c>
      <c r="CS109" s="2" t="s">
        <v>434</v>
      </c>
      <c r="CT109" s="2" t="s">
        <v>645</v>
      </c>
      <c r="CU109" s="2" t="s">
        <v>372</v>
      </c>
    </row>
    <row r="110" ht="12.75" customHeight="1">
      <c r="A110" s="2">
        <v>109.0</v>
      </c>
      <c r="B110" s="2">
        <v>6.0</v>
      </c>
      <c r="C110" s="2" t="s">
        <v>358</v>
      </c>
      <c r="D110" s="2" t="s">
        <v>359</v>
      </c>
      <c r="E110" s="2" t="s">
        <v>473</v>
      </c>
      <c r="F110" s="2" t="s">
        <v>361</v>
      </c>
      <c r="G110" s="2" t="s">
        <v>361</v>
      </c>
      <c r="H110" s="2" t="s">
        <v>540</v>
      </c>
      <c r="I110" s="2" t="s">
        <v>859</v>
      </c>
      <c r="J110" s="2" t="s">
        <v>599</v>
      </c>
      <c r="K110" s="2" t="s">
        <v>366</v>
      </c>
      <c r="L110" s="2" t="s">
        <v>599</v>
      </c>
      <c r="M110" s="2" t="s">
        <v>368</v>
      </c>
      <c r="N110" s="2" t="s">
        <v>369</v>
      </c>
      <c r="O110" s="2" t="s">
        <v>442</v>
      </c>
      <c r="P110" s="2" t="s">
        <v>762</v>
      </c>
      <c r="Q110" s="2" t="s">
        <v>361</v>
      </c>
      <c r="R110" s="2" t="s">
        <v>361</v>
      </c>
      <c r="S110" s="2" t="s">
        <v>378</v>
      </c>
      <c r="T110" s="2" t="s">
        <v>378</v>
      </c>
      <c r="U110" s="2" t="s">
        <v>378</v>
      </c>
      <c r="V110" s="2" t="s">
        <v>378</v>
      </c>
      <c r="W110" s="2" t="s">
        <v>444</v>
      </c>
      <c r="X110" s="2" t="s">
        <v>444</v>
      </c>
      <c r="Y110" s="2" t="s">
        <v>444</v>
      </c>
      <c r="Z110" s="2" t="s">
        <v>378</v>
      </c>
      <c r="AA110" s="2" t="s">
        <v>382</v>
      </c>
      <c r="AB110" s="2" t="s">
        <v>551</v>
      </c>
      <c r="AC110" s="2" t="s">
        <v>450</v>
      </c>
      <c r="AD110" s="2" t="s">
        <v>451</v>
      </c>
      <c r="AE110" s="2" t="s">
        <v>452</v>
      </c>
      <c r="AF110" s="2" t="s">
        <v>387</v>
      </c>
      <c r="AG110" s="2" t="s">
        <v>388</v>
      </c>
      <c r="AH110" s="2" t="s">
        <v>454</v>
      </c>
      <c r="AI110" s="2" t="s">
        <v>33</v>
      </c>
      <c r="AJ110" s="2" t="s">
        <v>33</v>
      </c>
      <c r="AK110" s="2" t="s">
        <v>33</v>
      </c>
      <c r="AL110" s="2">
        <v>2.0</v>
      </c>
      <c r="AM110" s="2">
        <v>2.0</v>
      </c>
      <c r="AN110" s="2">
        <v>3.0</v>
      </c>
      <c r="AO110" s="2">
        <v>2.0</v>
      </c>
      <c r="AP110" s="2">
        <v>4.0</v>
      </c>
      <c r="AQ110" s="2">
        <v>2.0</v>
      </c>
      <c r="AR110" s="2">
        <v>3.0</v>
      </c>
      <c r="AS110" s="2">
        <v>2.0</v>
      </c>
      <c r="AT110" s="2">
        <v>1.0</v>
      </c>
      <c r="AU110" s="2">
        <v>1.0</v>
      </c>
      <c r="AV110" s="2">
        <v>5.0</v>
      </c>
      <c r="AW110" s="2">
        <v>4.0</v>
      </c>
      <c r="AX110" s="2">
        <v>1.0</v>
      </c>
      <c r="AY110" s="2">
        <v>1.0</v>
      </c>
      <c r="AZ110" s="2">
        <v>1.0</v>
      </c>
      <c r="BA110" s="2">
        <v>5.0</v>
      </c>
      <c r="BB110" s="2">
        <v>1.0</v>
      </c>
      <c r="BC110" s="2">
        <v>3.0</v>
      </c>
      <c r="BD110" s="2">
        <v>2.0</v>
      </c>
      <c r="BE110" s="2">
        <v>5.0</v>
      </c>
      <c r="BF110" s="2">
        <v>1.0</v>
      </c>
      <c r="BG110" s="2">
        <v>1.0</v>
      </c>
      <c r="BH110" s="2">
        <v>1.0</v>
      </c>
      <c r="BI110" s="2">
        <v>1.0</v>
      </c>
      <c r="BJ110" s="2">
        <v>1.0</v>
      </c>
      <c r="BK110" s="2">
        <v>1.0</v>
      </c>
      <c r="BL110" s="2">
        <v>1.0</v>
      </c>
      <c r="BM110" s="2">
        <v>1.0</v>
      </c>
      <c r="BN110" s="2">
        <v>5.0</v>
      </c>
      <c r="BO110" s="2">
        <v>1.0</v>
      </c>
      <c r="BP110" s="2">
        <v>1.0</v>
      </c>
      <c r="BQ110" s="2" t="s">
        <v>389</v>
      </c>
      <c r="BR110" s="2" t="s">
        <v>390</v>
      </c>
      <c r="BS110" s="2" t="s">
        <v>391</v>
      </c>
      <c r="BT110" s="2" t="s">
        <v>393</v>
      </c>
      <c r="BU110" s="2" t="s">
        <v>394</v>
      </c>
      <c r="BV110" s="2" t="s">
        <v>396</v>
      </c>
      <c r="BW110" s="2" t="s">
        <v>33</v>
      </c>
      <c r="BX110" s="2" t="s">
        <v>33</v>
      </c>
      <c r="BY110" s="2" t="s">
        <v>33</v>
      </c>
      <c r="BZ110" s="2" t="s">
        <v>33</v>
      </c>
      <c r="CA110" s="2" t="s">
        <v>33</v>
      </c>
      <c r="CB110" s="2" t="s">
        <v>33</v>
      </c>
      <c r="CC110" s="2" t="s">
        <v>2026</v>
      </c>
      <c r="CD110" s="2">
        <v>6.0</v>
      </c>
      <c r="CE110" s="2" t="s">
        <v>952</v>
      </c>
      <c r="CF110" s="2" t="s">
        <v>1083</v>
      </c>
      <c r="CG110" s="2" t="s">
        <v>1019</v>
      </c>
      <c r="CH110" s="2" t="s">
        <v>1940</v>
      </c>
      <c r="CI110" s="2" t="s">
        <v>33</v>
      </c>
      <c r="CJ110" s="2" t="s">
        <v>33</v>
      </c>
      <c r="CK110" s="2" t="s">
        <v>859</v>
      </c>
      <c r="CL110" s="2" t="s">
        <v>466</v>
      </c>
      <c r="CM110" s="4">
        <v>45367.0</v>
      </c>
      <c r="CN110" s="4">
        <v>45374.0</v>
      </c>
      <c r="CO110" s="2">
        <v>8.0</v>
      </c>
      <c r="CP110" s="2" t="s">
        <v>434</v>
      </c>
      <c r="CQ110" s="2" t="s">
        <v>369</v>
      </c>
      <c r="CR110" s="2" t="s">
        <v>442</v>
      </c>
      <c r="CS110" s="2" t="s">
        <v>434</v>
      </c>
      <c r="CT110" s="2" t="s">
        <v>368</v>
      </c>
      <c r="CU110" s="2" t="s">
        <v>762</v>
      </c>
    </row>
    <row r="111" ht="12.75" customHeight="1">
      <c r="A111" s="2">
        <v>110.0</v>
      </c>
      <c r="B111" s="2">
        <v>1.0</v>
      </c>
      <c r="C111" s="2" t="s">
        <v>358</v>
      </c>
      <c r="D111" s="2" t="s">
        <v>359</v>
      </c>
      <c r="E111" s="2" t="s">
        <v>978</v>
      </c>
      <c r="F111" s="2" t="s">
        <v>606</v>
      </c>
      <c r="G111" s="2" t="s">
        <v>2027</v>
      </c>
      <c r="H111" s="2" t="s">
        <v>540</v>
      </c>
      <c r="I111" s="2" t="s">
        <v>425</v>
      </c>
      <c r="J111" s="2" t="s">
        <v>365</v>
      </c>
      <c r="K111" s="2" t="s">
        <v>366</v>
      </c>
      <c r="L111" s="2" t="s">
        <v>367</v>
      </c>
      <c r="M111" s="2" t="s">
        <v>368</v>
      </c>
      <c r="N111" s="2" t="s">
        <v>478</v>
      </c>
      <c r="O111" s="2" t="s">
        <v>370</v>
      </c>
      <c r="P111" s="2" t="s">
        <v>372</v>
      </c>
      <c r="Q111" s="2" t="s">
        <v>361</v>
      </c>
      <c r="R111" s="2" t="s">
        <v>361</v>
      </c>
      <c r="S111" s="2" t="s">
        <v>378</v>
      </c>
      <c r="T111" s="2" t="s">
        <v>376</v>
      </c>
      <c r="U111" s="2" t="s">
        <v>378</v>
      </c>
      <c r="V111" s="2" t="s">
        <v>378</v>
      </c>
      <c r="W111" s="2" t="s">
        <v>444</v>
      </c>
      <c r="X111" s="2" t="s">
        <v>444</v>
      </c>
      <c r="Y111" s="2" t="s">
        <v>444</v>
      </c>
      <c r="Z111" s="2" t="s">
        <v>444</v>
      </c>
      <c r="AA111" s="2" t="s">
        <v>447</v>
      </c>
      <c r="AB111" s="2" t="s">
        <v>490</v>
      </c>
      <c r="AC111" s="2" t="s">
        <v>1094</v>
      </c>
      <c r="AD111" s="2" t="s">
        <v>33</v>
      </c>
      <c r="AE111" s="2" t="s">
        <v>33</v>
      </c>
      <c r="AF111" s="2" t="s">
        <v>33</v>
      </c>
      <c r="AG111" s="2" t="s">
        <v>33</v>
      </c>
      <c r="AH111" s="2" t="s">
        <v>33</v>
      </c>
      <c r="AI111" s="2" t="s">
        <v>33</v>
      </c>
      <c r="AJ111" s="2" t="s">
        <v>33</v>
      </c>
      <c r="AK111" s="2" t="s">
        <v>33</v>
      </c>
      <c r="AL111" s="2">
        <v>1.0</v>
      </c>
      <c r="AM111" s="2">
        <v>5.0</v>
      </c>
      <c r="AN111" s="2">
        <v>1.0</v>
      </c>
      <c r="AO111" s="2">
        <v>3.0</v>
      </c>
      <c r="AP111" s="2">
        <v>5.0</v>
      </c>
      <c r="AQ111" s="2">
        <v>1.0</v>
      </c>
      <c r="AR111" s="2">
        <v>5.0</v>
      </c>
      <c r="AS111" s="2">
        <v>5.0</v>
      </c>
      <c r="AT111" s="2">
        <v>3.0</v>
      </c>
      <c r="AU111" s="2">
        <v>1.0</v>
      </c>
      <c r="AV111" s="2">
        <v>5.0</v>
      </c>
      <c r="AW111" s="2">
        <v>5.0</v>
      </c>
      <c r="AX111" s="2">
        <v>3.0</v>
      </c>
      <c r="AY111" s="2">
        <v>1.0</v>
      </c>
      <c r="AZ111" s="2">
        <v>1.0</v>
      </c>
      <c r="BA111" s="2">
        <v>5.0</v>
      </c>
      <c r="BB111" s="2">
        <v>1.0</v>
      </c>
      <c r="BC111" s="2">
        <v>3.0</v>
      </c>
      <c r="BD111" s="2">
        <v>3.0</v>
      </c>
      <c r="BE111" s="2">
        <v>5.0</v>
      </c>
      <c r="BF111" s="2">
        <v>1.0</v>
      </c>
      <c r="BG111" s="2">
        <v>1.0</v>
      </c>
      <c r="BH111" s="2">
        <v>1.0</v>
      </c>
      <c r="BI111" s="2">
        <v>1.0</v>
      </c>
      <c r="BJ111" s="2">
        <v>1.0</v>
      </c>
      <c r="BK111" s="2">
        <v>1.0</v>
      </c>
      <c r="BL111" s="2">
        <v>1.0</v>
      </c>
      <c r="BM111" s="2">
        <v>1.0</v>
      </c>
      <c r="BN111" s="2">
        <v>3.0</v>
      </c>
      <c r="BO111" s="2">
        <v>1.0</v>
      </c>
      <c r="BP111" s="2">
        <v>1.0</v>
      </c>
      <c r="BQ111" s="2" t="s">
        <v>389</v>
      </c>
      <c r="BR111" s="2" t="s">
        <v>390</v>
      </c>
      <c r="BS111" s="2" t="s">
        <v>391</v>
      </c>
      <c r="BT111" s="2" t="s">
        <v>393</v>
      </c>
      <c r="BU111" s="2" t="s">
        <v>395</v>
      </c>
      <c r="BV111" s="2" t="s">
        <v>396</v>
      </c>
      <c r="BW111" s="2" t="s">
        <v>33</v>
      </c>
      <c r="BX111" s="2" t="s">
        <v>33</v>
      </c>
      <c r="BY111" s="2" t="s">
        <v>33</v>
      </c>
      <c r="BZ111" s="2" t="s">
        <v>33</v>
      </c>
      <c r="CA111" s="2" t="s">
        <v>33</v>
      </c>
      <c r="CB111" s="2" t="s">
        <v>33</v>
      </c>
      <c r="CC111" s="2" t="s">
        <v>2028</v>
      </c>
      <c r="CD111" s="2">
        <v>3.0</v>
      </c>
      <c r="CE111" s="2" t="s">
        <v>794</v>
      </c>
      <c r="CF111" s="2" t="s">
        <v>1083</v>
      </c>
      <c r="CG111" s="2" t="s">
        <v>999</v>
      </c>
      <c r="CH111" s="2" t="s">
        <v>33</v>
      </c>
      <c r="CI111" s="2" t="s">
        <v>33</v>
      </c>
      <c r="CJ111" s="2" t="s">
        <v>33</v>
      </c>
      <c r="CK111" s="2" t="s">
        <v>425</v>
      </c>
      <c r="CL111" s="2" t="s">
        <v>367</v>
      </c>
      <c r="CM111" s="4">
        <v>45302.0</v>
      </c>
      <c r="CN111" s="4">
        <v>45307.0</v>
      </c>
      <c r="CO111" s="2">
        <v>6.0</v>
      </c>
      <c r="CP111" s="2" t="s">
        <v>434</v>
      </c>
      <c r="CQ111" s="2" t="s">
        <v>478</v>
      </c>
      <c r="CR111" s="2" t="s">
        <v>370</v>
      </c>
      <c r="CS111" s="2" t="s">
        <v>434</v>
      </c>
      <c r="CT111" s="2" t="s">
        <v>368</v>
      </c>
      <c r="CU111" s="2" t="s">
        <v>372</v>
      </c>
    </row>
    <row r="112" ht="12.75" customHeight="1">
      <c r="A112" s="2">
        <v>111.0</v>
      </c>
      <c r="B112" s="2">
        <v>3.0</v>
      </c>
      <c r="C112" s="2" t="s">
        <v>358</v>
      </c>
      <c r="D112" s="2" t="s">
        <v>359</v>
      </c>
      <c r="E112" s="2" t="s">
        <v>473</v>
      </c>
      <c r="F112" s="2" t="s">
        <v>606</v>
      </c>
      <c r="G112" s="2" t="s">
        <v>2029</v>
      </c>
      <c r="H112" s="2" t="s">
        <v>540</v>
      </c>
      <c r="I112" s="2" t="s">
        <v>2030</v>
      </c>
      <c r="J112" s="2" t="s">
        <v>599</v>
      </c>
      <c r="K112" s="2" t="s">
        <v>366</v>
      </c>
      <c r="L112" s="2" t="s">
        <v>599</v>
      </c>
      <c r="M112" s="2" t="s">
        <v>368</v>
      </c>
      <c r="N112" s="2" t="s">
        <v>441</v>
      </c>
      <c r="O112" s="2" t="s">
        <v>442</v>
      </c>
      <c r="P112" s="2" t="s">
        <v>372</v>
      </c>
      <c r="Q112" s="2" t="s">
        <v>606</v>
      </c>
      <c r="R112" s="2" t="s">
        <v>2031</v>
      </c>
      <c r="S112" s="2" t="s">
        <v>378</v>
      </c>
      <c r="T112" s="2" t="s">
        <v>378</v>
      </c>
      <c r="U112" s="2" t="s">
        <v>444</v>
      </c>
      <c r="V112" s="2" t="s">
        <v>444</v>
      </c>
      <c r="W112" s="2" t="s">
        <v>378</v>
      </c>
      <c r="X112" s="2" t="s">
        <v>378</v>
      </c>
      <c r="Y112" s="2" t="s">
        <v>378</v>
      </c>
      <c r="Z112" s="2" t="s">
        <v>378</v>
      </c>
      <c r="AA112" s="2" t="s">
        <v>1031</v>
      </c>
      <c r="AB112" s="2" t="s">
        <v>651</v>
      </c>
      <c r="AC112" s="2" t="s">
        <v>450</v>
      </c>
      <c r="AD112" s="2" t="s">
        <v>386</v>
      </c>
      <c r="AE112" s="2" t="s">
        <v>388</v>
      </c>
      <c r="AF112" s="2" t="s">
        <v>33</v>
      </c>
      <c r="AG112" s="2" t="s">
        <v>33</v>
      </c>
      <c r="AH112" s="2" t="s">
        <v>33</v>
      </c>
      <c r="AI112" s="2" t="s">
        <v>33</v>
      </c>
      <c r="AJ112" s="2" t="s">
        <v>33</v>
      </c>
      <c r="AK112" s="2" t="s">
        <v>33</v>
      </c>
      <c r="AL112" s="2">
        <v>1.0</v>
      </c>
      <c r="AM112" s="2">
        <v>3.0</v>
      </c>
      <c r="AN112" s="2">
        <v>1.0</v>
      </c>
      <c r="AO112" s="2">
        <v>1.0</v>
      </c>
      <c r="AP112" s="2">
        <v>3.0</v>
      </c>
      <c r="AQ112" s="2">
        <v>1.0</v>
      </c>
      <c r="AR112" s="2">
        <v>3.0</v>
      </c>
      <c r="AS112" s="2">
        <v>3.0</v>
      </c>
      <c r="AT112" s="2">
        <v>2.0</v>
      </c>
      <c r="AU112" s="2">
        <v>1.0</v>
      </c>
      <c r="AV112" s="2">
        <v>1.0</v>
      </c>
      <c r="AW112" s="2">
        <v>1.0</v>
      </c>
      <c r="AX112" s="2">
        <v>1.0</v>
      </c>
      <c r="AY112" s="2">
        <v>1.0</v>
      </c>
      <c r="AZ112" s="2">
        <v>1.0</v>
      </c>
      <c r="BA112" s="2">
        <v>2.0</v>
      </c>
      <c r="BB112" s="2">
        <v>1.0</v>
      </c>
      <c r="BC112" s="2">
        <v>1.0</v>
      </c>
      <c r="BD112" s="2">
        <v>1.0</v>
      </c>
      <c r="BE112" s="2">
        <v>4.0</v>
      </c>
      <c r="BF112" s="2">
        <v>2.0</v>
      </c>
      <c r="BG112" s="2">
        <v>2.0</v>
      </c>
      <c r="BH112" s="2">
        <v>1.0</v>
      </c>
      <c r="BI112" s="2">
        <v>1.0</v>
      </c>
      <c r="BJ112" s="2">
        <v>2.0</v>
      </c>
      <c r="BK112" s="2">
        <v>1.0</v>
      </c>
      <c r="BL112" s="2">
        <v>2.0</v>
      </c>
      <c r="BM112" s="2">
        <v>1.0</v>
      </c>
      <c r="BN112" s="2">
        <v>3.0</v>
      </c>
      <c r="BO112" s="2">
        <v>1.0</v>
      </c>
      <c r="BP112" s="2">
        <v>3.0</v>
      </c>
      <c r="BQ112" s="2" t="s">
        <v>390</v>
      </c>
      <c r="BR112" s="2" t="s">
        <v>391</v>
      </c>
      <c r="BS112" s="2" t="s">
        <v>393</v>
      </c>
      <c r="BT112" s="2" t="s">
        <v>33</v>
      </c>
      <c r="BU112" s="2" t="s">
        <v>33</v>
      </c>
      <c r="BV112" s="2" t="s">
        <v>33</v>
      </c>
      <c r="BW112" s="2" t="s">
        <v>33</v>
      </c>
      <c r="BX112" s="2" t="s">
        <v>33</v>
      </c>
      <c r="BY112" s="2" t="s">
        <v>33</v>
      </c>
      <c r="BZ112" s="2" t="s">
        <v>33</v>
      </c>
      <c r="CA112" s="2" t="s">
        <v>33</v>
      </c>
      <c r="CB112" s="2" t="s">
        <v>33</v>
      </c>
      <c r="CC112" s="3" t="s">
        <v>2032</v>
      </c>
      <c r="CD112" s="2">
        <v>5.0</v>
      </c>
      <c r="CE112" s="2" t="s">
        <v>794</v>
      </c>
      <c r="CF112" s="2" t="s">
        <v>952</v>
      </c>
      <c r="CG112" s="2" t="s">
        <v>1019</v>
      </c>
      <c r="CH112" s="2" t="s">
        <v>999</v>
      </c>
      <c r="CI112" s="2" t="s">
        <v>33</v>
      </c>
      <c r="CJ112" s="2" t="s">
        <v>33</v>
      </c>
      <c r="CK112" s="2" t="s">
        <v>2030</v>
      </c>
      <c r="CL112" s="2" t="s">
        <v>466</v>
      </c>
      <c r="CM112" s="4">
        <v>45725.0</v>
      </c>
      <c r="CN112" s="4">
        <v>45731.0</v>
      </c>
      <c r="CO112" s="2">
        <v>7.0</v>
      </c>
      <c r="CP112" s="2" t="s">
        <v>434</v>
      </c>
      <c r="CQ112" s="2" t="s">
        <v>441</v>
      </c>
      <c r="CR112" s="2" t="s">
        <v>442</v>
      </c>
      <c r="CS112" s="2" t="s">
        <v>434</v>
      </c>
      <c r="CT112" s="2" t="s">
        <v>368</v>
      </c>
      <c r="CU112" s="2" t="s">
        <v>372</v>
      </c>
    </row>
    <row r="113" ht="12.75" customHeight="1">
      <c r="A113" s="2">
        <v>112.0</v>
      </c>
      <c r="B113" s="2">
        <v>2.0</v>
      </c>
      <c r="C113" s="2" t="s">
        <v>358</v>
      </c>
      <c r="D113" s="2" t="s">
        <v>359</v>
      </c>
      <c r="E113" s="2" t="s">
        <v>473</v>
      </c>
      <c r="F113" s="2" t="s">
        <v>361</v>
      </c>
      <c r="G113" s="2" t="s">
        <v>361</v>
      </c>
      <c r="H113" s="2" t="s">
        <v>540</v>
      </c>
      <c r="I113" s="2" t="s">
        <v>859</v>
      </c>
      <c r="J113" s="2" t="s">
        <v>599</v>
      </c>
      <c r="K113" s="2" t="s">
        <v>366</v>
      </c>
      <c r="L113" s="2" t="s">
        <v>599</v>
      </c>
      <c r="M113" s="2" t="s">
        <v>368</v>
      </c>
      <c r="N113" s="2" t="s">
        <v>478</v>
      </c>
      <c r="O113" s="2" t="s">
        <v>442</v>
      </c>
      <c r="P113" s="2" t="s">
        <v>372</v>
      </c>
      <c r="Q113" s="2" t="s">
        <v>361</v>
      </c>
      <c r="R113" s="2" t="s">
        <v>361</v>
      </c>
      <c r="S113" s="2" t="s">
        <v>444</v>
      </c>
      <c r="T113" s="2" t="s">
        <v>378</v>
      </c>
      <c r="U113" s="2" t="s">
        <v>378</v>
      </c>
      <c r="V113" s="2" t="s">
        <v>376</v>
      </c>
      <c r="W113" s="2" t="s">
        <v>444</v>
      </c>
      <c r="X113" s="2" t="s">
        <v>444</v>
      </c>
      <c r="Y113" s="2" t="s">
        <v>378</v>
      </c>
      <c r="Z113" s="2" t="s">
        <v>444</v>
      </c>
      <c r="AA113" s="2" t="s">
        <v>1031</v>
      </c>
      <c r="AB113" s="2" t="s">
        <v>490</v>
      </c>
      <c r="AC113" s="2" t="s">
        <v>450</v>
      </c>
      <c r="AD113" s="2" t="s">
        <v>451</v>
      </c>
      <c r="AE113" s="2" t="s">
        <v>452</v>
      </c>
      <c r="AF113" s="2" t="s">
        <v>386</v>
      </c>
      <c r="AG113" s="2" t="s">
        <v>387</v>
      </c>
      <c r="AH113" s="2" t="s">
        <v>388</v>
      </c>
      <c r="AI113" s="2" t="s">
        <v>33</v>
      </c>
      <c r="AJ113" s="2" t="s">
        <v>33</v>
      </c>
      <c r="AK113" s="2" t="s">
        <v>33</v>
      </c>
      <c r="AL113" s="2">
        <v>5.0</v>
      </c>
      <c r="AM113" s="2">
        <v>2.0</v>
      </c>
      <c r="AN113" s="2">
        <v>2.0</v>
      </c>
      <c r="AO113" s="2">
        <v>2.0</v>
      </c>
      <c r="AP113" s="2">
        <v>2.0</v>
      </c>
      <c r="AQ113" s="2">
        <v>1.0</v>
      </c>
      <c r="AR113" s="2">
        <v>2.0</v>
      </c>
      <c r="AS113" s="2">
        <v>2.0</v>
      </c>
      <c r="AT113" s="2">
        <v>2.0</v>
      </c>
      <c r="AU113" s="2">
        <v>5.0</v>
      </c>
      <c r="AV113" s="2">
        <v>5.0</v>
      </c>
      <c r="AW113" s="2">
        <v>5.0</v>
      </c>
      <c r="AX113" s="2">
        <v>3.0</v>
      </c>
      <c r="AY113" s="2">
        <v>1.0</v>
      </c>
      <c r="AZ113" s="2">
        <v>5.0</v>
      </c>
      <c r="BA113" s="2">
        <v>3.0</v>
      </c>
      <c r="BB113" s="2">
        <v>1.0</v>
      </c>
      <c r="BC113" s="2">
        <v>3.0</v>
      </c>
      <c r="BD113" s="2">
        <v>3.0</v>
      </c>
      <c r="BE113" s="2">
        <v>5.0</v>
      </c>
      <c r="BF113" s="2">
        <v>1.0</v>
      </c>
      <c r="BG113" s="2">
        <v>1.0</v>
      </c>
      <c r="BH113" s="2">
        <v>1.0</v>
      </c>
      <c r="BI113" s="2">
        <v>1.0</v>
      </c>
      <c r="BJ113" s="2">
        <v>1.0</v>
      </c>
      <c r="BK113" s="2">
        <v>1.0</v>
      </c>
      <c r="BL113" s="2">
        <v>1.0</v>
      </c>
      <c r="BM113" s="2">
        <v>1.0</v>
      </c>
      <c r="BN113" s="2">
        <v>5.0</v>
      </c>
      <c r="BO113" s="2">
        <v>1.0</v>
      </c>
      <c r="BP113" s="2">
        <v>2.0</v>
      </c>
      <c r="BQ113" s="2" t="s">
        <v>389</v>
      </c>
      <c r="BR113" s="2" t="s">
        <v>390</v>
      </c>
      <c r="BS113" s="2" t="s">
        <v>391</v>
      </c>
      <c r="BT113" s="2" t="s">
        <v>393</v>
      </c>
      <c r="BU113" s="2" t="s">
        <v>33</v>
      </c>
      <c r="BV113" s="2" t="s">
        <v>33</v>
      </c>
      <c r="BW113" s="2" t="s">
        <v>33</v>
      </c>
      <c r="BX113" s="2" t="s">
        <v>33</v>
      </c>
      <c r="BY113" s="2" t="s">
        <v>33</v>
      </c>
      <c r="BZ113" s="2" t="s">
        <v>33</v>
      </c>
      <c r="CA113" s="2" t="s">
        <v>33</v>
      </c>
      <c r="CB113" s="2" t="s">
        <v>33</v>
      </c>
      <c r="CC113" s="2" t="s">
        <v>2033</v>
      </c>
      <c r="CD113" s="2">
        <v>6.0</v>
      </c>
      <c r="CE113" s="2" t="s">
        <v>2034</v>
      </c>
      <c r="CF113" s="2" t="s">
        <v>899</v>
      </c>
      <c r="CG113" s="2" t="s">
        <v>1083</v>
      </c>
      <c r="CH113" s="2" t="s">
        <v>1019</v>
      </c>
      <c r="CI113" s="2" t="s">
        <v>999</v>
      </c>
      <c r="CJ113" s="2" t="s">
        <v>33</v>
      </c>
      <c r="CK113" s="2" t="s">
        <v>859</v>
      </c>
      <c r="CL113" s="2" t="s">
        <v>466</v>
      </c>
      <c r="CM113" s="2" t="s">
        <v>33</v>
      </c>
      <c r="CN113" s="2" t="s">
        <v>33</v>
      </c>
      <c r="CO113" s="2" t="s">
        <v>33</v>
      </c>
      <c r="CP113" s="2" t="s">
        <v>434</v>
      </c>
      <c r="CQ113" s="2" t="s">
        <v>478</v>
      </c>
      <c r="CR113" s="2" t="s">
        <v>442</v>
      </c>
      <c r="CS113" s="2" t="s">
        <v>434</v>
      </c>
      <c r="CT113" s="2" t="s">
        <v>368</v>
      </c>
      <c r="CU113" s="2" t="s">
        <v>372</v>
      </c>
    </row>
    <row r="114" ht="12.75" customHeight="1">
      <c r="A114" s="2">
        <v>113.0</v>
      </c>
      <c r="B114" s="2">
        <v>4.0</v>
      </c>
      <c r="C114" s="2" t="s">
        <v>358</v>
      </c>
      <c r="D114" s="2" t="s">
        <v>359</v>
      </c>
      <c r="E114" s="2" t="s">
        <v>360</v>
      </c>
      <c r="F114" s="2" t="s">
        <v>539</v>
      </c>
      <c r="G114" s="2" t="s">
        <v>539</v>
      </c>
      <c r="H114" s="2" t="s">
        <v>540</v>
      </c>
      <c r="I114" s="2" t="s">
        <v>859</v>
      </c>
      <c r="J114" s="2" t="s">
        <v>599</v>
      </c>
      <c r="K114" s="2" t="s">
        <v>366</v>
      </c>
      <c r="L114" s="2" t="s">
        <v>599</v>
      </c>
      <c r="M114" s="2" t="s">
        <v>368</v>
      </c>
      <c r="N114" s="2" t="s">
        <v>369</v>
      </c>
      <c r="O114" s="2" t="s">
        <v>442</v>
      </c>
      <c r="P114" s="2" t="s">
        <v>762</v>
      </c>
      <c r="Q114" s="2" t="s">
        <v>480</v>
      </c>
      <c r="R114" s="2" t="s">
        <v>480</v>
      </c>
      <c r="S114" s="2" t="s">
        <v>378</v>
      </c>
      <c r="T114" s="2" t="s">
        <v>378</v>
      </c>
      <c r="U114" s="2" t="s">
        <v>378</v>
      </c>
      <c r="V114" s="2" t="s">
        <v>378</v>
      </c>
      <c r="W114" s="2" t="s">
        <v>444</v>
      </c>
      <c r="X114" s="2" t="s">
        <v>444</v>
      </c>
      <c r="Y114" s="2" t="s">
        <v>444</v>
      </c>
      <c r="Z114" s="2" t="s">
        <v>378</v>
      </c>
      <c r="AA114" s="2" t="s">
        <v>1031</v>
      </c>
      <c r="AB114" s="2" t="s">
        <v>551</v>
      </c>
      <c r="AC114" s="2" t="s">
        <v>450</v>
      </c>
      <c r="AD114" s="2" t="s">
        <v>452</v>
      </c>
      <c r="AE114" s="2" t="s">
        <v>386</v>
      </c>
      <c r="AF114" s="2" t="s">
        <v>387</v>
      </c>
      <c r="AG114" s="2" t="s">
        <v>388</v>
      </c>
      <c r="AH114" s="2" t="s">
        <v>33</v>
      </c>
      <c r="AI114" s="2" t="s">
        <v>33</v>
      </c>
      <c r="AJ114" s="2" t="s">
        <v>33</v>
      </c>
      <c r="AK114" s="2" t="s">
        <v>33</v>
      </c>
      <c r="AL114" s="2">
        <v>3.0</v>
      </c>
      <c r="AM114" s="2">
        <v>1.0</v>
      </c>
      <c r="AN114" s="2">
        <v>3.0</v>
      </c>
      <c r="AO114" s="2">
        <v>4.0</v>
      </c>
      <c r="AP114" s="2">
        <v>4.0</v>
      </c>
      <c r="AQ114" s="2">
        <v>4.0</v>
      </c>
      <c r="AR114" s="2">
        <v>4.0</v>
      </c>
      <c r="AS114" s="2">
        <v>4.0</v>
      </c>
      <c r="AT114" s="2">
        <v>4.0</v>
      </c>
      <c r="AU114" s="2">
        <v>2.0</v>
      </c>
      <c r="AV114" s="2">
        <v>2.0</v>
      </c>
      <c r="AW114" s="2">
        <v>4.0</v>
      </c>
      <c r="AX114" s="2">
        <v>4.0</v>
      </c>
      <c r="AY114" s="2">
        <v>4.0</v>
      </c>
      <c r="AZ114" s="2">
        <v>4.0</v>
      </c>
      <c r="BA114" s="2">
        <v>2.0</v>
      </c>
      <c r="BB114" s="2">
        <v>1.0</v>
      </c>
      <c r="BC114" s="2">
        <v>4.0</v>
      </c>
      <c r="BD114" s="2">
        <v>3.0</v>
      </c>
      <c r="BE114" s="2">
        <v>2.0</v>
      </c>
      <c r="BF114" s="2">
        <v>5.0</v>
      </c>
      <c r="BG114" s="2">
        <v>4.0</v>
      </c>
      <c r="BH114" s="2">
        <v>4.0</v>
      </c>
      <c r="BI114" s="2">
        <v>4.0</v>
      </c>
      <c r="BJ114" s="2">
        <v>1.0</v>
      </c>
      <c r="BK114" s="2">
        <v>4.0</v>
      </c>
      <c r="BL114" s="2">
        <v>4.0</v>
      </c>
      <c r="BM114" s="2">
        <v>5.0</v>
      </c>
      <c r="BN114" s="2">
        <v>1.0</v>
      </c>
      <c r="BO114" s="2">
        <v>3.0</v>
      </c>
      <c r="BP114" s="2">
        <v>3.0</v>
      </c>
      <c r="BQ114" s="2" t="s">
        <v>568</v>
      </c>
      <c r="BR114" s="2" t="s">
        <v>389</v>
      </c>
      <c r="BS114" s="2" t="s">
        <v>390</v>
      </c>
      <c r="BT114" s="2" t="s">
        <v>391</v>
      </c>
      <c r="BU114" s="2" t="s">
        <v>392</v>
      </c>
      <c r="BV114" s="2" t="s">
        <v>393</v>
      </c>
      <c r="BW114" s="2" t="s">
        <v>394</v>
      </c>
      <c r="BX114" s="2" t="s">
        <v>395</v>
      </c>
      <c r="BY114" s="2" t="s">
        <v>519</v>
      </c>
      <c r="BZ114" s="2" t="s">
        <v>396</v>
      </c>
      <c r="CA114" s="2" t="s">
        <v>573</v>
      </c>
      <c r="CB114" s="2" t="s">
        <v>730</v>
      </c>
      <c r="CC114" s="2" t="s">
        <v>2035</v>
      </c>
      <c r="CD114" s="2">
        <v>4.0</v>
      </c>
      <c r="CE114" s="2" t="s">
        <v>794</v>
      </c>
      <c r="CF114" s="2" t="s">
        <v>952</v>
      </c>
      <c r="CG114" s="2" t="s">
        <v>998</v>
      </c>
      <c r="CH114" s="2" t="s">
        <v>999</v>
      </c>
      <c r="CI114" s="2" t="s">
        <v>33</v>
      </c>
      <c r="CJ114" s="2" t="s">
        <v>33</v>
      </c>
      <c r="CK114" s="2" t="s">
        <v>859</v>
      </c>
      <c r="CL114" s="2" t="s">
        <v>466</v>
      </c>
      <c r="CM114" s="2" t="s">
        <v>33</v>
      </c>
      <c r="CN114" s="2" t="s">
        <v>33</v>
      </c>
      <c r="CO114" s="2" t="s">
        <v>33</v>
      </c>
      <c r="CP114" s="2" t="s">
        <v>529</v>
      </c>
      <c r="CQ114" s="2" t="s">
        <v>369</v>
      </c>
      <c r="CR114" s="2" t="s">
        <v>442</v>
      </c>
      <c r="CS114" s="2" t="s">
        <v>529</v>
      </c>
      <c r="CT114" s="2" t="s">
        <v>368</v>
      </c>
      <c r="CU114" s="2" t="s">
        <v>762</v>
      </c>
    </row>
    <row r="115" ht="12.75" customHeight="1">
      <c r="A115" s="2">
        <v>114.0</v>
      </c>
      <c r="B115" s="2">
        <v>3.0</v>
      </c>
      <c r="C115" s="2" t="s">
        <v>358</v>
      </c>
      <c r="D115" s="2" t="s">
        <v>359</v>
      </c>
      <c r="E115" s="2" t="s">
        <v>360</v>
      </c>
      <c r="F115" s="2" t="s">
        <v>539</v>
      </c>
      <c r="G115" s="2" t="s">
        <v>539</v>
      </c>
      <c r="H115" s="2" t="s">
        <v>362</v>
      </c>
      <c r="I115" s="2" t="s">
        <v>425</v>
      </c>
      <c r="J115" s="2" t="s">
        <v>365</v>
      </c>
      <c r="K115" s="2" t="s">
        <v>366</v>
      </c>
      <c r="L115" s="2" t="s">
        <v>367</v>
      </c>
      <c r="M115" s="2" t="s">
        <v>368</v>
      </c>
      <c r="N115" s="2" t="s">
        <v>441</v>
      </c>
      <c r="O115" s="2" t="s">
        <v>442</v>
      </c>
      <c r="P115" s="2" t="s">
        <v>372</v>
      </c>
      <c r="Q115" s="2" t="s">
        <v>480</v>
      </c>
      <c r="R115" s="2" t="s">
        <v>1090</v>
      </c>
      <c r="S115" s="2" t="s">
        <v>444</v>
      </c>
      <c r="T115" s="2" t="s">
        <v>378</v>
      </c>
      <c r="U115" s="2" t="s">
        <v>378</v>
      </c>
      <c r="V115" s="2" t="s">
        <v>378</v>
      </c>
      <c r="W115" s="2" t="s">
        <v>444</v>
      </c>
      <c r="X115" s="2" t="s">
        <v>378</v>
      </c>
      <c r="Y115" s="2" t="s">
        <v>378</v>
      </c>
      <c r="Z115" s="2" t="s">
        <v>378</v>
      </c>
      <c r="AA115" s="2" t="s">
        <v>382</v>
      </c>
      <c r="AB115" s="2" t="s">
        <v>359</v>
      </c>
      <c r="AC115" s="2" t="s">
        <v>450</v>
      </c>
      <c r="AD115" s="2" t="s">
        <v>387</v>
      </c>
      <c r="AE115" s="2" t="s">
        <v>33</v>
      </c>
      <c r="AF115" s="2" t="s">
        <v>33</v>
      </c>
      <c r="AG115" s="2" t="s">
        <v>33</v>
      </c>
      <c r="AH115" s="2" t="s">
        <v>33</v>
      </c>
      <c r="AI115" s="2" t="s">
        <v>33</v>
      </c>
      <c r="AJ115" s="2" t="s">
        <v>33</v>
      </c>
      <c r="AK115" s="2" t="s">
        <v>33</v>
      </c>
      <c r="AL115" s="2">
        <v>1.0</v>
      </c>
      <c r="AM115" s="2">
        <v>5.0</v>
      </c>
      <c r="AN115" s="2">
        <v>1.0</v>
      </c>
      <c r="AO115" s="2">
        <v>3.0</v>
      </c>
      <c r="AP115" s="2">
        <v>5.0</v>
      </c>
      <c r="AQ115" s="2">
        <v>1.0</v>
      </c>
      <c r="AR115" s="2">
        <v>4.0</v>
      </c>
      <c r="AS115" s="2">
        <v>4.0</v>
      </c>
      <c r="AT115" s="2">
        <v>3.0</v>
      </c>
      <c r="AU115" s="2">
        <v>1.0</v>
      </c>
      <c r="AV115" s="2">
        <v>2.0</v>
      </c>
      <c r="AW115" s="2">
        <v>2.0</v>
      </c>
      <c r="AX115" s="2">
        <v>1.0</v>
      </c>
      <c r="AY115" s="2">
        <v>2.0</v>
      </c>
      <c r="AZ115" s="2">
        <v>2.0</v>
      </c>
      <c r="BA115" s="2">
        <v>3.0</v>
      </c>
      <c r="BB115" s="2">
        <v>1.0</v>
      </c>
      <c r="BC115" s="2">
        <v>2.0</v>
      </c>
      <c r="BD115" s="2">
        <v>1.0</v>
      </c>
      <c r="BE115" s="2">
        <v>3.0</v>
      </c>
      <c r="BF115" s="2">
        <v>1.0</v>
      </c>
      <c r="BG115" s="2">
        <v>1.0</v>
      </c>
      <c r="BH115" s="2">
        <v>1.0</v>
      </c>
      <c r="BI115" s="2">
        <v>1.0</v>
      </c>
      <c r="BJ115" s="2">
        <v>2.0</v>
      </c>
      <c r="BK115" s="2">
        <v>1.0</v>
      </c>
      <c r="BL115" s="2">
        <v>2.0</v>
      </c>
      <c r="BM115" s="2">
        <v>1.0</v>
      </c>
      <c r="BN115" s="2">
        <v>5.0</v>
      </c>
      <c r="BO115" s="2">
        <v>1.0</v>
      </c>
      <c r="BP115" s="2">
        <v>3.0</v>
      </c>
      <c r="BQ115" s="2" t="s">
        <v>389</v>
      </c>
      <c r="BR115" s="2" t="s">
        <v>390</v>
      </c>
      <c r="BS115" s="2" t="s">
        <v>391</v>
      </c>
      <c r="BT115" s="2" t="s">
        <v>393</v>
      </c>
      <c r="BU115" s="2" t="s">
        <v>396</v>
      </c>
      <c r="BV115" s="2" t="s">
        <v>33</v>
      </c>
      <c r="BW115" s="2" t="s">
        <v>33</v>
      </c>
      <c r="BX115" s="2" t="s">
        <v>33</v>
      </c>
      <c r="BY115" s="2" t="s">
        <v>33</v>
      </c>
      <c r="BZ115" s="2" t="s">
        <v>33</v>
      </c>
      <c r="CA115" s="2" t="s">
        <v>33</v>
      </c>
      <c r="CB115" s="2" t="s">
        <v>33</v>
      </c>
      <c r="CC115" s="2" t="s">
        <v>2036</v>
      </c>
      <c r="CD115" s="2">
        <v>4.0</v>
      </c>
      <c r="CE115" s="2" t="s">
        <v>952</v>
      </c>
      <c r="CF115" s="2" t="s">
        <v>1019</v>
      </c>
      <c r="CG115" s="2" t="s">
        <v>999</v>
      </c>
      <c r="CH115" s="2" t="s">
        <v>33</v>
      </c>
      <c r="CI115" s="2" t="s">
        <v>33</v>
      </c>
      <c r="CJ115" s="2" t="s">
        <v>33</v>
      </c>
      <c r="CK115" s="2" t="s">
        <v>425</v>
      </c>
      <c r="CL115" s="2" t="s">
        <v>367</v>
      </c>
      <c r="CM115" s="4">
        <v>45725.0</v>
      </c>
      <c r="CN115" s="4">
        <v>45728.0</v>
      </c>
      <c r="CO115" s="2">
        <v>4.0</v>
      </c>
      <c r="CP115" s="2" t="s">
        <v>529</v>
      </c>
      <c r="CQ115" s="2" t="s">
        <v>441</v>
      </c>
      <c r="CR115" s="2" t="s">
        <v>442</v>
      </c>
      <c r="CS115" s="2" t="s">
        <v>529</v>
      </c>
      <c r="CT115" s="2" t="s">
        <v>368</v>
      </c>
      <c r="CU115" s="2" t="s">
        <v>372</v>
      </c>
    </row>
    <row r="116" ht="12.75" customHeight="1">
      <c r="A116" s="2">
        <v>115.0</v>
      </c>
      <c r="B116" s="2">
        <v>2.0</v>
      </c>
      <c r="C116" s="2" t="s">
        <v>358</v>
      </c>
      <c r="D116" s="2" t="s">
        <v>359</v>
      </c>
      <c r="E116" s="2" t="s">
        <v>473</v>
      </c>
      <c r="F116" s="2" t="s">
        <v>437</v>
      </c>
      <c r="G116" s="2" t="s">
        <v>437</v>
      </c>
      <c r="H116" s="2" t="s">
        <v>540</v>
      </c>
      <c r="I116" s="2" t="s">
        <v>2037</v>
      </c>
      <c r="J116" s="2" t="s">
        <v>599</v>
      </c>
      <c r="K116" s="2" t="s">
        <v>366</v>
      </c>
      <c r="L116" s="2" t="s">
        <v>599</v>
      </c>
      <c r="M116" s="2" t="s">
        <v>368</v>
      </c>
      <c r="N116" s="2" t="s">
        <v>369</v>
      </c>
      <c r="O116" s="2" t="s">
        <v>2038</v>
      </c>
      <c r="P116" s="2" t="s">
        <v>762</v>
      </c>
      <c r="Q116" s="2" t="s">
        <v>480</v>
      </c>
      <c r="R116" s="2" t="s">
        <v>480</v>
      </c>
      <c r="S116" s="2" t="s">
        <v>378</v>
      </c>
      <c r="T116" s="2" t="s">
        <v>378</v>
      </c>
      <c r="U116" s="2" t="s">
        <v>376</v>
      </c>
      <c r="V116" s="2" t="s">
        <v>376</v>
      </c>
      <c r="W116" s="2" t="s">
        <v>444</v>
      </c>
      <c r="X116" s="2" t="s">
        <v>378</v>
      </c>
      <c r="Y116" s="2" t="s">
        <v>378</v>
      </c>
      <c r="Z116" s="2" t="s">
        <v>444</v>
      </c>
      <c r="AA116" s="2" t="s">
        <v>986</v>
      </c>
      <c r="AB116" s="2" t="s">
        <v>490</v>
      </c>
      <c r="AC116" s="2" t="s">
        <v>385</v>
      </c>
      <c r="AD116" s="2" t="s">
        <v>388</v>
      </c>
      <c r="AE116" s="2" t="s">
        <v>455</v>
      </c>
      <c r="AF116" s="2" t="s">
        <v>33</v>
      </c>
      <c r="AG116" s="2" t="s">
        <v>33</v>
      </c>
      <c r="AH116" s="2" t="s">
        <v>33</v>
      </c>
      <c r="AI116" s="2" t="s">
        <v>33</v>
      </c>
      <c r="AJ116" s="2" t="s">
        <v>33</v>
      </c>
      <c r="AK116" s="2" t="s">
        <v>33</v>
      </c>
      <c r="AL116" s="2">
        <v>2.0</v>
      </c>
      <c r="AM116" s="2">
        <v>3.0</v>
      </c>
      <c r="AN116" s="2">
        <v>2.0</v>
      </c>
      <c r="AO116" s="2">
        <v>3.0</v>
      </c>
      <c r="AP116" s="2">
        <v>3.0</v>
      </c>
      <c r="AQ116" s="2">
        <v>2.0</v>
      </c>
      <c r="AR116" s="2">
        <v>2.0</v>
      </c>
      <c r="AS116" s="2">
        <v>2.0</v>
      </c>
      <c r="AT116" s="2">
        <v>4.0</v>
      </c>
      <c r="AU116" s="2">
        <v>3.0</v>
      </c>
      <c r="AV116" s="2">
        <v>5.0</v>
      </c>
      <c r="AW116" s="2">
        <v>5.0</v>
      </c>
      <c r="AX116" s="2">
        <v>3.0</v>
      </c>
      <c r="AY116" s="2">
        <v>2.0</v>
      </c>
      <c r="AZ116" s="2">
        <v>2.0</v>
      </c>
      <c r="BA116" s="2">
        <v>5.0</v>
      </c>
      <c r="BB116" s="2">
        <v>1.0</v>
      </c>
      <c r="BC116" s="2">
        <v>2.0</v>
      </c>
      <c r="BD116" s="2">
        <v>2.0</v>
      </c>
      <c r="BE116" s="2">
        <v>3.0</v>
      </c>
      <c r="BF116" s="2">
        <v>1.0</v>
      </c>
      <c r="BG116" s="2">
        <v>2.0</v>
      </c>
      <c r="BH116" s="2">
        <v>1.0</v>
      </c>
      <c r="BI116" s="2">
        <v>1.0</v>
      </c>
      <c r="BJ116" s="2">
        <v>2.0</v>
      </c>
      <c r="BK116" s="2">
        <v>1.0</v>
      </c>
      <c r="BL116" s="2">
        <v>1.0</v>
      </c>
      <c r="BM116" s="2">
        <v>1.0</v>
      </c>
      <c r="BN116" s="2">
        <v>4.0</v>
      </c>
      <c r="BO116" s="2">
        <v>1.0</v>
      </c>
      <c r="BP116" s="2">
        <v>1.0</v>
      </c>
      <c r="BQ116" s="2" t="s">
        <v>389</v>
      </c>
      <c r="BR116" s="2" t="s">
        <v>390</v>
      </c>
      <c r="BS116" s="2" t="s">
        <v>391</v>
      </c>
      <c r="BT116" s="2" t="s">
        <v>393</v>
      </c>
      <c r="BU116" s="2" t="s">
        <v>33</v>
      </c>
      <c r="BV116" s="2" t="s">
        <v>33</v>
      </c>
      <c r="BW116" s="2" t="s">
        <v>33</v>
      </c>
      <c r="BX116" s="2" t="s">
        <v>33</v>
      </c>
      <c r="BY116" s="2" t="s">
        <v>33</v>
      </c>
      <c r="BZ116" s="2" t="s">
        <v>33</v>
      </c>
      <c r="CA116" s="2" t="s">
        <v>33</v>
      </c>
      <c r="CB116" s="2" t="s">
        <v>33</v>
      </c>
      <c r="CC116" s="2" t="s">
        <v>2039</v>
      </c>
      <c r="CD116" s="2">
        <v>5.0</v>
      </c>
      <c r="CE116" s="2" t="s">
        <v>794</v>
      </c>
      <c r="CF116" s="2" t="s">
        <v>952</v>
      </c>
      <c r="CG116" s="2" t="s">
        <v>998</v>
      </c>
      <c r="CH116" s="2" t="s">
        <v>999</v>
      </c>
      <c r="CI116" s="2" t="s">
        <v>33</v>
      </c>
      <c r="CJ116" s="2" t="s">
        <v>33</v>
      </c>
      <c r="CK116" s="2" t="s">
        <v>2037</v>
      </c>
      <c r="CL116" s="2" t="s">
        <v>466</v>
      </c>
      <c r="CM116" s="4">
        <v>45728.0</v>
      </c>
      <c r="CN116" s="4">
        <v>45732.0</v>
      </c>
      <c r="CO116" s="2">
        <v>5.0</v>
      </c>
      <c r="CP116" s="2" t="s">
        <v>529</v>
      </c>
      <c r="CQ116" s="2" t="s">
        <v>369</v>
      </c>
      <c r="CR116" s="2" t="s">
        <v>2038</v>
      </c>
      <c r="CS116" s="2" t="s">
        <v>529</v>
      </c>
      <c r="CT116" s="2" t="s">
        <v>368</v>
      </c>
      <c r="CU116" s="2" t="s">
        <v>762</v>
      </c>
    </row>
    <row r="117" ht="12.75" customHeight="1">
      <c r="A117" s="2">
        <v>116.0</v>
      </c>
      <c r="B117" s="2">
        <v>2.0</v>
      </c>
      <c r="C117" s="2" t="s">
        <v>358</v>
      </c>
      <c r="D117" s="2" t="s">
        <v>359</v>
      </c>
      <c r="E117" s="2" t="s">
        <v>360</v>
      </c>
      <c r="F117" s="2" t="s">
        <v>437</v>
      </c>
      <c r="G117" s="2" t="s">
        <v>437</v>
      </c>
      <c r="H117" s="2" t="s">
        <v>362</v>
      </c>
      <c r="I117" s="2" t="s">
        <v>859</v>
      </c>
      <c r="J117" s="2" t="s">
        <v>599</v>
      </c>
      <c r="K117" s="2" t="s">
        <v>366</v>
      </c>
      <c r="L117" s="2" t="s">
        <v>599</v>
      </c>
      <c r="M117" s="2" t="s">
        <v>645</v>
      </c>
      <c r="N117" s="2" t="s">
        <v>441</v>
      </c>
      <c r="O117" s="2" t="s">
        <v>442</v>
      </c>
      <c r="P117" s="2" t="s">
        <v>860</v>
      </c>
      <c r="Q117" s="2" t="s">
        <v>480</v>
      </c>
      <c r="R117" s="2" t="s">
        <v>480</v>
      </c>
      <c r="S117" s="2" t="s">
        <v>378</v>
      </c>
      <c r="T117" s="2" t="s">
        <v>378</v>
      </c>
      <c r="U117" s="2" t="s">
        <v>378</v>
      </c>
      <c r="V117" s="2" t="s">
        <v>444</v>
      </c>
      <c r="W117" s="2" t="s">
        <v>444</v>
      </c>
      <c r="X117" s="2" t="s">
        <v>444</v>
      </c>
      <c r="Y117" s="2" t="s">
        <v>444</v>
      </c>
      <c r="Z117" s="2" t="s">
        <v>444</v>
      </c>
      <c r="AA117" s="2" t="s">
        <v>1031</v>
      </c>
      <c r="AB117" s="2" t="s">
        <v>490</v>
      </c>
      <c r="AC117" s="2" t="s">
        <v>450</v>
      </c>
      <c r="AD117" s="2" t="s">
        <v>452</v>
      </c>
      <c r="AE117" s="2" t="s">
        <v>387</v>
      </c>
      <c r="AF117" s="2" t="s">
        <v>388</v>
      </c>
      <c r="AG117" s="2" t="s">
        <v>455</v>
      </c>
      <c r="AH117" s="2" t="s">
        <v>33</v>
      </c>
      <c r="AI117" s="2" t="s">
        <v>33</v>
      </c>
      <c r="AJ117" s="2" t="s">
        <v>33</v>
      </c>
      <c r="AK117" s="2" t="s">
        <v>33</v>
      </c>
      <c r="AL117" s="2">
        <v>2.0</v>
      </c>
      <c r="AM117" s="2">
        <v>3.0</v>
      </c>
      <c r="AN117" s="2">
        <v>2.0</v>
      </c>
      <c r="AO117" s="2">
        <v>4.0</v>
      </c>
      <c r="AP117" s="2">
        <v>3.0</v>
      </c>
      <c r="AQ117" s="2">
        <v>1.0</v>
      </c>
      <c r="AR117" s="2">
        <v>4.0</v>
      </c>
      <c r="AS117" s="2">
        <v>3.0</v>
      </c>
      <c r="AT117" s="2">
        <v>5.0</v>
      </c>
      <c r="AU117" s="2">
        <v>3.0</v>
      </c>
      <c r="AV117" s="2">
        <v>3.0</v>
      </c>
      <c r="AW117" s="2">
        <v>4.0</v>
      </c>
      <c r="AX117" s="2">
        <v>1.0</v>
      </c>
      <c r="AY117" s="2">
        <v>1.0</v>
      </c>
      <c r="AZ117" s="2">
        <v>1.0</v>
      </c>
      <c r="BA117" s="2">
        <v>5.0</v>
      </c>
      <c r="BB117" s="2">
        <v>1.0</v>
      </c>
      <c r="BC117" s="2">
        <v>1.0</v>
      </c>
      <c r="BD117" s="2">
        <v>1.0</v>
      </c>
      <c r="BE117" s="2">
        <v>5.0</v>
      </c>
      <c r="BF117" s="2">
        <v>1.0</v>
      </c>
      <c r="BG117" s="2">
        <v>1.0</v>
      </c>
      <c r="BH117" s="2">
        <v>1.0</v>
      </c>
      <c r="BI117" s="2">
        <v>1.0</v>
      </c>
      <c r="BJ117" s="2">
        <v>1.0</v>
      </c>
      <c r="BK117" s="2">
        <v>2.0</v>
      </c>
      <c r="BL117" s="2">
        <v>2.0</v>
      </c>
      <c r="BM117" s="2">
        <v>1.0</v>
      </c>
      <c r="BN117" s="2">
        <v>5.0</v>
      </c>
      <c r="BO117" s="2">
        <v>1.0</v>
      </c>
      <c r="BP117" s="2">
        <v>4.0</v>
      </c>
      <c r="BQ117" s="2" t="s">
        <v>390</v>
      </c>
      <c r="BR117" s="2" t="s">
        <v>392</v>
      </c>
      <c r="BS117" s="2" t="s">
        <v>393</v>
      </c>
      <c r="BT117" s="2" t="s">
        <v>396</v>
      </c>
      <c r="BU117" s="2" t="s">
        <v>33</v>
      </c>
      <c r="BV117" s="2" t="s">
        <v>33</v>
      </c>
      <c r="BW117" s="2" t="s">
        <v>33</v>
      </c>
      <c r="BX117" s="2" t="s">
        <v>33</v>
      </c>
      <c r="BY117" s="2" t="s">
        <v>33</v>
      </c>
      <c r="BZ117" s="2" t="s">
        <v>33</v>
      </c>
      <c r="CA117" s="2" t="s">
        <v>33</v>
      </c>
      <c r="CB117" s="2" t="s">
        <v>33</v>
      </c>
      <c r="CC117" s="2" t="s">
        <v>2040</v>
      </c>
      <c r="CD117" s="2">
        <v>5.0</v>
      </c>
      <c r="CE117" s="2" t="s">
        <v>1967</v>
      </c>
      <c r="CF117" s="2" t="s">
        <v>1172</v>
      </c>
      <c r="CG117" s="2" t="s">
        <v>1083</v>
      </c>
      <c r="CH117" s="2" t="s">
        <v>998</v>
      </c>
      <c r="CI117" s="2" t="s">
        <v>999</v>
      </c>
      <c r="CJ117" s="2" t="s">
        <v>33</v>
      </c>
      <c r="CK117" s="2" t="s">
        <v>859</v>
      </c>
      <c r="CL117" s="2" t="s">
        <v>466</v>
      </c>
      <c r="CM117" s="4">
        <v>45724.0</v>
      </c>
      <c r="CN117" s="4">
        <v>45729.0</v>
      </c>
      <c r="CO117" s="2">
        <v>6.0</v>
      </c>
      <c r="CP117" s="2" t="s">
        <v>529</v>
      </c>
      <c r="CQ117" s="2" t="s">
        <v>441</v>
      </c>
      <c r="CR117" s="2" t="s">
        <v>442</v>
      </c>
      <c r="CS117" s="2" t="s">
        <v>529</v>
      </c>
      <c r="CT117" s="2" t="s">
        <v>645</v>
      </c>
      <c r="CU117" s="2" t="s">
        <v>860</v>
      </c>
    </row>
    <row r="118" ht="12.75" customHeight="1">
      <c r="A118" s="2">
        <v>117.0</v>
      </c>
      <c r="B118" s="2">
        <v>2.0</v>
      </c>
      <c r="C118" s="2" t="s">
        <v>358</v>
      </c>
      <c r="D118" s="2" t="s">
        <v>359</v>
      </c>
      <c r="E118" s="2" t="s">
        <v>360</v>
      </c>
      <c r="F118" s="2" t="s">
        <v>443</v>
      </c>
      <c r="G118" s="2" t="s">
        <v>443</v>
      </c>
      <c r="H118" s="2" t="s">
        <v>540</v>
      </c>
      <c r="I118" s="2" t="s">
        <v>425</v>
      </c>
      <c r="J118" s="2" t="s">
        <v>365</v>
      </c>
      <c r="K118" s="2" t="s">
        <v>366</v>
      </c>
      <c r="L118" s="2" t="s">
        <v>367</v>
      </c>
      <c r="M118" s="2" t="s">
        <v>368</v>
      </c>
      <c r="N118" s="2" t="s">
        <v>369</v>
      </c>
      <c r="O118" s="2" t="s">
        <v>442</v>
      </c>
      <c r="P118" s="2" t="s">
        <v>372</v>
      </c>
      <c r="Q118" s="2" t="s">
        <v>361</v>
      </c>
      <c r="R118" s="2" t="s">
        <v>361</v>
      </c>
      <c r="S118" s="2" t="s">
        <v>376</v>
      </c>
      <c r="T118" s="2" t="s">
        <v>376</v>
      </c>
      <c r="U118" s="2" t="s">
        <v>376</v>
      </c>
      <c r="V118" s="2" t="s">
        <v>376</v>
      </c>
      <c r="W118" s="2" t="s">
        <v>378</v>
      </c>
      <c r="X118" s="2" t="s">
        <v>378</v>
      </c>
      <c r="Y118" s="2" t="s">
        <v>376</v>
      </c>
      <c r="Z118" s="2" t="s">
        <v>378</v>
      </c>
      <c r="AA118" s="2" t="s">
        <v>382</v>
      </c>
      <c r="AB118" s="2" t="s">
        <v>1112</v>
      </c>
      <c r="AC118" s="2" t="s">
        <v>385</v>
      </c>
      <c r="AD118" s="2" t="s">
        <v>386</v>
      </c>
      <c r="AE118" s="2" t="s">
        <v>387</v>
      </c>
      <c r="AF118" s="2" t="s">
        <v>388</v>
      </c>
      <c r="AG118" s="2" t="s">
        <v>454</v>
      </c>
      <c r="AH118" s="2" t="s">
        <v>33</v>
      </c>
      <c r="AI118" s="2" t="s">
        <v>33</v>
      </c>
      <c r="AJ118" s="2" t="s">
        <v>33</v>
      </c>
      <c r="AK118" s="2" t="s">
        <v>33</v>
      </c>
      <c r="AL118" s="2">
        <v>3.0</v>
      </c>
      <c r="AM118" s="2">
        <v>3.0</v>
      </c>
      <c r="AN118" s="2">
        <v>1.0</v>
      </c>
      <c r="AO118" s="2">
        <v>3.0</v>
      </c>
      <c r="AP118" s="2">
        <v>3.0</v>
      </c>
      <c r="AQ118" s="2">
        <v>1.0</v>
      </c>
      <c r="AR118" s="2">
        <v>1.0</v>
      </c>
      <c r="AS118" s="2">
        <v>2.0</v>
      </c>
      <c r="AT118" s="2">
        <v>1.0</v>
      </c>
      <c r="AU118" s="2">
        <v>2.0</v>
      </c>
      <c r="AV118" s="2">
        <v>5.0</v>
      </c>
      <c r="AW118" s="2">
        <v>5.0</v>
      </c>
      <c r="AX118" s="2">
        <v>2.0</v>
      </c>
      <c r="AY118" s="2">
        <v>3.0</v>
      </c>
      <c r="AZ118" s="2">
        <v>1.0</v>
      </c>
      <c r="BA118" s="2">
        <v>3.0</v>
      </c>
      <c r="BB118" s="2">
        <v>1.0</v>
      </c>
      <c r="BC118" s="2">
        <v>3.0</v>
      </c>
      <c r="BD118" s="2">
        <v>1.0</v>
      </c>
      <c r="BE118" s="2">
        <v>4.0</v>
      </c>
      <c r="BF118" s="2">
        <v>2.0</v>
      </c>
      <c r="BG118" s="2">
        <v>2.0</v>
      </c>
      <c r="BH118" s="2">
        <v>1.0</v>
      </c>
      <c r="BI118" s="2">
        <v>1.0</v>
      </c>
      <c r="BJ118" s="2">
        <v>1.0</v>
      </c>
      <c r="BK118" s="2">
        <v>1.0</v>
      </c>
      <c r="BL118" s="2">
        <v>1.0</v>
      </c>
      <c r="BM118" s="2">
        <v>1.0</v>
      </c>
      <c r="BN118" s="2">
        <v>4.0</v>
      </c>
      <c r="BO118" s="2">
        <v>1.0</v>
      </c>
      <c r="BP118" s="2">
        <v>1.0</v>
      </c>
      <c r="BQ118" s="2" t="s">
        <v>568</v>
      </c>
      <c r="BR118" s="2" t="s">
        <v>389</v>
      </c>
      <c r="BS118" s="2" t="s">
        <v>390</v>
      </c>
      <c r="BT118" s="2" t="s">
        <v>391</v>
      </c>
      <c r="BU118" s="2" t="s">
        <v>393</v>
      </c>
      <c r="BV118" s="2" t="s">
        <v>395</v>
      </c>
      <c r="BW118" s="2" t="s">
        <v>33</v>
      </c>
      <c r="BX118" s="2" t="s">
        <v>33</v>
      </c>
      <c r="BY118" s="2" t="s">
        <v>33</v>
      </c>
      <c r="BZ118" s="2" t="s">
        <v>33</v>
      </c>
      <c r="CA118" s="2" t="s">
        <v>33</v>
      </c>
      <c r="CB118" s="2" t="s">
        <v>33</v>
      </c>
      <c r="CC118" s="2" t="s">
        <v>2041</v>
      </c>
      <c r="CD118" s="2">
        <v>1.0</v>
      </c>
      <c r="CE118" s="2" t="s">
        <v>2014</v>
      </c>
      <c r="CF118" s="2" t="s">
        <v>33</v>
      </c>
      <c r="CG118" s="2" t="s">
        <v>33</v>
      </c>
      <c r="CH118" s="2" t="s">
        <v>33</v>
      </c>
      <c r="CI118" s="2" t="s">
        <v>33</v>
      </c>
      <c r="CJ118" s="2" t="s">
        <v>33</v>
      </c>
      <c r="CK118" s="2" t="s">
        <v>425</v>
      </c>
      <c r="CL118" s="2" t="s">
        <v>367</v>
      </c>
      <c r="CM118" s="4">
        <v>45399.0</v>
      </c>
      <c r="CN118" s="4">
        <v>45399.0</v>
      </c>
      <c r="CO118" s="2">
        <v>1.0</v>
      </c>
      <c r="CP118" s="2" t="s">
        <v>434</v>
      </c>
      <c r="CQ118" s="2" t="s">
        <v>369</v>
      </c>
      <c r="CR118" s="2" t="s">
        <v>442</v>
      </c>
      <c r="CS118" s="2" t="s">
        <v>434</v>
      </c>
      <c r="CT118" s="2" t="s">
        <v>368</v>
      </c>
      <c r="CU118" s="2" t="s">
        <v>372</v>
      </c>
    </row>
    <row r="119" ht="12.75" customHeight="1">
      <c r="A119" s="2">
        <v>118.0</v>
      </c>
      <c r="B119" s="2">
        <v>2.0</v>
      </c>
      <c r="C119" s="2" t="s">
        <v>358</v>
      </c>
      <c r="D119" s="2" t="s">
        <v>359</v>
      </c>
      <c r="E119" s="2" t="s">
        <v>473</v>
      </c>
      <c r="F119" s="2" t="s">
        <v>437</v>
      </c>
      <c r="G119" s="2" t="s">
        <v>437</v>
      </c>
      <c r="H119" s="2" t="s">
        <v>540</v>
      </c>
      <c r="I119" s="2" t="s">
        <v>1938</v>
      </c>
      <c r="J119" s="2" t="s">
        <v>599</v>
      </c>
      <c r="K119" s="2" t="s">
        <v>366</v>
      </c>
      <c r="L119" s="2" t="s">
        <v>599</v>
      </c>
      <c r="M119" s="2" t="s">
        <v>368</v>
      </c>
      <c r="N119" s="2" t="s">
        <v>1025</v>
      </c>
      <c r="O119" s="2" t="s">
        <v>442</v>
      </c>
      <c r="P119" s="2" t="s">
        <v>372</v>
      </c>
      <c r="Q119" s="2" t="s">
        <v>480</v>
      </c>
      <c r="R119" s="2" t="s">
        <v>480</v>
      </c>
      <c r="S119" s="2" t="s">
        <v>378</v>
      </c>
      <c r="T119" s="2" t="s">
        <v>378</v>
      </c>
      <c r="U119" s="2" t="s">
        <v>378</v>
      </c>
      <c r="V119" s="2" t="s">
        <v>378</v>
      </c>
      <c r="W119" s="2" t="s">
        <v>444</v>
      </c>
      <c r="X119" s="2" t="s">
        <v>378</v>
      </c>
      <c r="Y119" s="2" t="s">
        <v>444</v>
      </c>
      <c r="Z119" s="2" t="s">
        <v>378</v>
      </c>
      <c r="AA119" s="2" t="s">
        <v>382</v>
      </c>
      <c r="AB119" s="2" t="s">
        <v>490</v>
      </c>
      <c r="AC119" s="2" t="s">
        <v>450</v>
      </c>
      <c r="AD119" s="2" t="s">
        <v>387</v>
      </c>
      <c r="AE119" s="2" t="s">
        <v>388</v>
      </c>
      <c r="AF119" s="2" t="s">
        <v>33</v>
      </c>
      <c r="AG119" s="2" t="s">
        <v>33</v>
      </c>
      <c r="AH119" s="2" t="s">
        <v>33</v>
      </c>
      <c r="AI119" s="2" t="s">
        <v>33</v>
      </c>
      <c r="AJ119" s="2" t="s">
        <v>33</v>
      </c>
      <c r="AK119" s="2" t="s">
        <v>33</v>
      </c>
      <c r="AL119" s="2">
        <v>5.0</v>
      </c>
      <c r="AM119" s="2">
        <v>1.0</v>
      </c>
      <c r="AN119" s="2">
        <v>4.0</v>
      </c>
      <c r="AO119" s="2">
        <v>3.0</v>
      </c>
      <c r="AP119" s="2">
        <v>2.0</v>
      </c>
      <c r="AQ119" s="2">
        <v>5.0</v>
      </c>
      <c r="AR119" s="2">
        <v>2.0</v>
      </c>
      <c r="AS119" s="2">
        <v>2.0</v>
      </c>
      <c r="AT119" s="2">
        <v>3.0</v>
      </c>
      <c r="AU119" s="2">
        <v>4.0</v>
      </c>
      <c r="AV119" s="2">
        <v>4.0</v>
      </c>
      <c r="AW119" s="2">
        <v>3.0</v>
      </c>
      <c r="AX119" s="2">
        <v>2.0</v>
      </c>
      <c r="AY119" s="2">
        <v>5.0</v>
      </c>
      <c r="AZ119" s="2">
        <v>2.0</v>
      </c>
      <c r="BA119" s="2">
        <v>1.0</v>
      </c>
      <c r="BB119" s="2">
        <v>2.0</v>
      </c>
      <c r="BC119" s="2">
        <v>4.0</v>
      </c>
      <c r="BD119" s="2">
        <v>3.0</v>
      </c>
      <c r="BE119" s="2">
        <v>5.0</v>
      </c>
      <c r="BF119" s="2">
        <v>3.0</v>
      </c>
      <c r="BG119" s="2">
        <v>1.0</v>
      </c>
      <c r="BH119" s="2">
        <v>5.0</v>
      </c>
      <c r="BI119" s="2">
        <v>1.0</v>
      </c>
      <c r="BJ119" s="2">
        <v>1.0</v>
      </c>
      <c r="BK119" s="2">
        <v>1.0</v>
      </c>
      <c r="BL119" s="2">
        <v>1.0</v>
      </c>
      <c r="BM119" s="2">
        <v>5.0</v>
      </c>
      <c r="BN119" s="2">
        <v>1.0</v>
      </c>
      <c r="BO119" s="2">
        <v>1.0</v>
      </c>
      <c r="BP119" s="2">
        <v>1.0</v>
      </c>
      <c r="BQ119" s="2" t="s">
        <v>390</v>
      </c>
      <c r="BR119" s="2" t="s">
        <v>393</v>
      </c>
      <c r="BS119" s="2" t="s">
        <v>394</v>
      </c>
      <c r="BT119" s="2" t="s">
        <v>396</v>
      </c>
      <c r="BU119" s="2" t="s">
        <v>33</v>
      </c>
      <c r="BV119" s="2" t="s">
        <v>33</v>
      </c>
      <c r="BW119" s="2" t="s">
        <v>33</v>
      </c>
      <c r="BX119" s="2" t="s">
        <v>33</v>
      </c>
      <c r="BY119" s="2" t="s">
        <v>33</v>
      </c>
      <c r="BZ119" s="2" t="s">
        <v>33</v>
      </c>
      <c r="CA119" s="2" t="s">
        <v>33</v>
      </c>
      <c r="CB119" s="2" t="s">
        <v>33</v>
      </c>
      <c r="CC119" s="2" t="s">
        <v>2042</v>
      </c>
      <c r="CD119" s="2">
        <v>5.0</v>
      </c>
      <c r="CE119" s="2" t="s">
        <v>794</v>
      </c>
      <c r="CF119" s="2" t="s">
        <v>952</v>
      </c>
      <c r="CG119" s="2" t="s">
        <v>998</v>
      </c>
      <c r="CH119" s="2" t="s">
        <v>999</v>
      </c>
      <c r="CI119" s="2" t="s">
        <v>33</v>
      </c>
      <c r="CJ119" s="2" t="s">
        <v>33</v>
      </c>
      <c r="CK119" s="2" t="s">
        <v>1938</v>
      </c>
      <c r="CL119" s="2" t="s">
        <v>466</v>
      </c>
      <c r="CM119" s="4">
        <v>45732.0</v>
      </c>
      <c r="CN119" s="4">
        <v>45736.0</v>
      </c>
      <c r="CO119" s="2">
        <v>5.0</v>
      </c>
      <c r="CP119" s="2" t="s">
        <v>529</v>
      </c>
      <c r="CQ119" s="2" t="s">
        <v>1025</v>
      </c>
      <c r="CR119" s="2" t="s">
        <v>442</v>
      </c>
      <c r="CS119" s="2" t="s">
        <v>529</v>
      </c>
      <c r="CT119" s="2" t="s">
        <v>368</v>
      </c>
      <c r="CU119" s="2" t="s">
        <v>372</v>
      </c>
    </row>
    <row r="120" ht="12.75" customHeight="1">
      <c r="A120" s="2">
        <v>119.0</v>
      </c>
      <c r="B120" s="2">
        <v>2.0</v>
      </c>
      <c r="C120" s="2" t="s">
        <v>358</v>
      </c>
      <c r="D120" s="2" t="s">
        <v>359</v>
      </c>
      <c r="E120" s="2" t="s">
        <v>360</v>
      </c>
      <c r="F120" s="2" t="s">
        <v>437</v>
      </c>
      <c r="G120" s="2" t="s">
        <v>437</v>
      </c>
      <c r="H120" s="2" t="s">
        <v>540</v>
      </c>
      <c r="I120" s="2" t="s">
        <v>2043</v>
      </c>
      <c r="J120" s="2" t="s">
        <v>2043</v>
      </c>
      <c r="K120" s="2" t="s">
        <v>366</v>
      </c>
      <c r="L120" s="2" t="s">
        <v>1056</v>
      </c>
      <c r="M120" s="2" t="s">
        <v>368</v>
      </c>
      <c r="N120" s="2" t="s">
        <v>441</v>
      </c>
      <c r="O120" s="2" t="s">
        <v>442</v>
      </c>
      <c r="P120" s="2" t="s">
        <v>762</v>
      </c>
      <c r="Q120" s="2" t="s">
        <v>480</v>
      </c>
      <c r="R120" s="2" t="s">
        <v>480</v>
      </c>
      <c r="S120" s="2" t="s">
        <v>378</v>
      </c>
      <c r="T120" s="2" t="s">
        <v>376</v>
      </c>
      <c r="U120" s="2" t="s">
        <v>378</v>
      </c>
      <c r="V120" s="2" t="s">
        <v>378</v>
      </c>
      <c r="W120" s="2" t="s">
        <v>444</v>
      </c>
      <c r="X120" s="2" t="s">
        <v>444</v>
      </c>
      <c r="Y120" s="2" t="s">
        <v>444</v>
      </c>
      <c r="Z120" s="2" t="s">
        <v>444</v>
      </c>
      <c r="AA120" s="2" t="s">
        <v>382</v>
      </c>
      <c r="AB120" s="2" t="s">
        <v>490</v>
      </c>
      <c r="AC120" s="2" t="s">
        <v>1141</v>
      </c>
      <c r="AD120" s="2" t="s">
        <v>387</v>
      </c>
      <c r="AE120" s="2" t="s">
        <v>388</v>
      </c>
      <c r="AF120" s="2" t="s">
        <v>455</v>
      </c>
      <c r="AG120" s="2" t="s">
        <v>33</v>
      </c>
      <c r="AH120" s="2" t="s">
        <v>33</v>
      </c>
      <c r="AI120" s="2" t="s">
        <v>33</v>
      </c>
      <c r="AJ120" s="2" t="s">
        <v>33</v>
      </c>
      <c r="AK120" s="2" t="s">
        <v>33</v>
      </c>
      <c r="AL120" s="2">
        <v>5.0</v>
      </c>
      <c r="AM120" s="2">
        <v>5.0</v>
      </c>
      <c r="AN120" s="2">
        <v>3.0</v>
      </c>
      <c r="AO120" s="2">
        <v>4.0</v>
      </c>
      <c r="AP120" s="2">
        <v>4.0</v>
      </c>
      <c r="AQ120" s="2">
        <v>2.0</v>
      </c>
      <c r="AR120" s="2">
        <v>4.0</v>
      </c>
      <c r="AS120" s="2">
        <v>4.0</v>
      </c>
      <c r="AT120" s="2">
        <v>4.0</v>
      </c>
      <c r="AU120" s="2">
        <v>4.0</v>
      </c>
      <c r="AV120" s="2">
        <v>5.0</v>
      </c>
      <c r="AW120" s="2">
        <v>4.0</v>
      </c>
      <c r="AX120" s="2">
        <v>3.0</v>
      </c>
      <c r="AY120" s="2">
        <v>4.0</v>
      </c>
      <c r="AZ120" s="2">
        <v>5.0</v>
      </c>
      <c r="BA120" s="2">
        <v>5.0</v>
      </c>
      <c r="BB120" s="2">
        <v>1.0</v>
      </c>
      <c r="BC120" s="2">
        <v>4.0</v>
      </c>
      <c r="BD120" s="2">
        <v>4.0</v>
      </c>
      <c r="BE120" s="2">
        <v>3.0</v>
      </c>
      <c r="BF120" s="2">
        <v>1.0</v>
      </c>
      <c r="BG120" s="2">
        <v>1.0</v>
      </c>
      <c r="BH120" s="2">
        <v>1.0</v>
      </c>
      <c r="BI120" s="2">
        <v>1.0</v>
      </c>
      <c r="BJ120" s="2">
        <v>2.0</v>
      </c>
      <c r="BK120" s="2">
        <v>1.0</v>
      </c>
      <c r="BL120" s="2">
        <v>1.0</v>
      </c>
      <c r="BM120" s="2">
        <v>1.0</v>
      </c>
      <c r="BN120" s="2">
        <v>4.0</v>
      </c>
      <c r="BO120" s="2">
        <v>1.0</v>
      </c>
      <c r="BP120" s="2">
        <v>1.0</v>
      </c>
      <c r="BQ120" s="2" t="s">
        <v>568</v>
      </c>
      <c r="BR120" s="2" t="s">
        <v>389</v>
      </c>
      <c r="BS120" s="2" t="s">
        <v>390</v>
      </c>
      <c r="BT120" s="2" t="s">
        <v>391</v>
      </c>
      <c r="BU120" s="2" t="s">
        <v>393</v>
      </c>
      <c r="BV120" s="2" t="s">
        <v>394</v>
      </c>
      <c r="BW120" s="2" t="s">
        <v>395</v>
      </c>
      <c r="BX120" s="2" t="s">
        <v>519</v>
      </c>
      <c r="BY120" s="2" t="s">
        <v>396</v>
      </c>
      <c r="BZ120" s="2" t="s">
        <v>33</v>
      </c>
      <c r="CA120" s="2" t="s">
        <v>33</v>
      </c>
      <c r="CB120" s="2" t="s">
        <v>33</v>
      </c>
      <c r="CC120" s="2" t="s">
        <v>2044</v>
      </c>
      <c r="CD120" s="2">
        <v>5.0</v>
      </c>
      <c r="CE120" s="2" t="s">
        <v>794</v>
      </c>
      <c r="CF120" s="2" t="s">
        <v>899</v>
      </c>
      <c r="CG120" s="2" t="s">
        <v>998</v>
      </c>
      <c r="CH120" s="2" t="s">
        <v>999</v>
      </c>
      <c r="CI120" s="2" t="s">
        <v>33</v>
      </c>
      <c r="CJ120" s="2" t="s">
        <v>33</v>
      </c>
      <c r="CK120" s="2" t="s">
        <v>2043</v>
      </c>
      <c r="CL120" s="2" t="s">
        <v>466</v>
      </c>
      <c r="CM120" s="4">
        <v>45739.0</v>
      </c>
      <c r="CN120" s="4">
        <v>45743.0</v>
      </c>
      <c r="CO120" s="2">
        <v>5.0</v>
      </c>
      <c r="CP120" s="2" t="s">
        <v>529</v>
      </c>
      <c r="CQ120" s="2" t="s">
        <v>441</v>
      </c>
      <c r="CR120" s="2" t="s">
        <v>442</v>
      </c>
      <c r="CS120" s="2" t="s">
        <v>529</v>
      </c>
      <c r="CT120" s="2" t="s">
        <v>368</v>
      </c>
      <c r="CU120" s="2" t="s">
        <v>762</v>
      </c>
    </row>
    <row r="121" ht="12.75" customHeight="1">
      <c r="A121" s="2">
        <v>120.0</v>
      </c>
      <c r="B121" s="2">
        <v>2.0</v>
      </c>
      <c r="C121" s="2" t="s">
        <v>358</v>
      </c>
      <c r="D121" s="2" t="s">
        <v>359</v>
      </c>
      <c r="E121" s="2" t="s">
        <v>473</v>
      </c>
      <c r="F121" s="2" t="s">
        <v>437</v>
      </c>
      <c r="G121" s="2" t="s">
        <v>437</v>
      </c>
      <c r="H121" s="2" t="s">
        <v>540</v>
      </c>
      <c r="I121" s="2" t="s">
        <v>425</v>
      </c>
      <c r="J121" s="2" t="s">
        <v>365</v>
      </c>
      <c r="K121" s="2" t="s">
        <v>366</v>
      </c>
      <c r="L121" s="2" t="s">
        <v>367</v>
      </c>
      <c r="M121" s="2" t="s">
        <v>368</v>
      </c>
      <c r="N121" s="2" t="s">
        <v>441</v>
      </c>
      <c r="O121" s="2" t="s">
        <v>370</v>
      </c>
      <c r="P121" s="2" t="s">
        <v>372</v>
      </c>
      <c r="Q121" s="2" t="s">
        <v>480</v>
      </c>
      <c r="R121" s="2" t="s">
        <v>480</v>
      </c>
      <c r="S121" s="2" t="s">
        <v>378</v>
      </c>
      <c r="T121" s="2" t="s">
        <v>378</v>
      </c>
      <c r="U121" s="2" t="s">
        <v>378</v>
      </c>
      <c r="V121" s="2" t="s">
        <v>376</v>
      </c>
      <c r="W121" s="2" t="s">
        <v>378</v>
      </c>
      <c r="X121" s="2" t="s">
        <v>378</v>
      </c>
      <c r="Y121" s="2" t="s">
        <v>444</v>
      </c>
      <c r="Z121" s="2" t="s">
        <v>376</v>
      </c>
      <c r="AA121" s="2" t="s">
        <v>382</v>
      </c>
      <c r="AB121" s="2" t="s">
        <v>551</v>
      </c>
      <c r="AC121" s="2" t="s">
        <v>385</v>
      </c>
      <c r="AD121" s="2" t="s">
        <v>387</v>
      </c>
      <c r="AE121" s="2" t="s">
        <v>388</v>
      </c>
      <c r="AF121" s="2" t="s">
        <v>455</v>
      </c>
      <c r="AG121" s="2" t="s">
        <v>33</v>
      </c>
      <c r="AH121" s="2" t="s">
        <v>33</v>
      </c>
      <c r="AI121" s="2" t="s">
        <v>33</v>
      </c>
      <c r="AJ121" s="2" t="s">
        <v>33</v>
      </c>
      <c r="AK121" s="2" t="s">
        <v>33</v>
      </c>
      <c r="AL121" s="2">
        <v>4.0</v>
      </c>
      <c r="AM121" s="2">
        <v>4.0</v>
      </c>
      <c r="AN121" s="2">
        <v>1.0</v>
      </c>
      <c r="AO121" s="2">
        <v>3.0</v>
      </c>
      <c r="AP121" s="2">
        <v>3.0</v>
      </c>
      <c r="AQ121" s="2">
        <v>1.0</v>
      </c>
      <c r="AR121" s="2">
        <v>3.0</v>
      </c>
      <c r="AS121" s="2">
        <v>5.0</v>
      </c>
      <c r="AT121" s="2">
        <v>2.0</v>
      </c>
      <c r="AU121" s="2">
        <v>1.0</v>
      </c>
      <c r="AV121" s="2">
        <v>5.0</v>
      </c>
      <c r="AW121" s="2">
        <v>5.0</v>
      </c>
      <c r="AX121" s="2">
        <v>2.0</v>
      </c>
      <c r="AY121" s="2">
        <v>5.0</v>
      </c>
      <c r="AZ121" s="2">
        <v>2.0</v>
      </c>
      <c r="BA121" s="2">
        <v>5.0</v>
      </c>
      <c r="BB121" s="2">
        <v>3.0</v>
      </c>
      <c r="BC121" s="2">
        <v>2.0</v>
      </c>
      <c r="BD121" s="2">
        <v>5.0</v>
      </c>
      <c r="BE121" s="2">
        <v>5.0</v>
      </c>
      <c r="BF121" s="2">
        <v>1.0</v>
      </c>
      <c r="BG121" s="2">
        <v>1.0</v>
      </c>
      <c r="BH121" s="2">
        <v>1.0</v>
      </c>
      <c r="BI121" s="2">
        <v>1.0</v>
      </c>
      <c r="BJ121" s="2">
        <v>1.0</v>
      </c>
      <c r="BK121" s="2">
        <v>1.0</v>
      </c>
      <c r="BL121" s="2">
        <v>1.0</v>
      </c>
      <c r="BM121" s="2">
        <v>1.0</v>
      </c>
      <c r="BN121" s="2">
        <v>5.0</v>
      </c>
      <c r="BO121" s="2">
        <v>1.0</v>
      </c>
      <c r="BP121" s="2">
        <v>1.0</v>
      </c>
      <c r="BQ121" s="2" t="s">
        <v>568</v>
      </c>
      <c r="BR121" s="2" t="s">
        <v>389</v>
      </c>
      <c r="BS121" s="2" t="s">
        <v>390</v>
      </c>
      <c r="BT121" s="2" t="s">
        <v>391</v>
      </c>
      <c r="BU121" s="2" t="s">
        <v>392</v>
      </c>
      <c r="BV121" s="2" t="s">
        <v>393</v>
      </c>
      <c r="BW121" s="2" t="s">
        <v>395</v>
      </c>
      <c r="BX121" s="2" t="s">
        <v>396</v>
      </c>
      <c r="BY121" s="2" t="s">
        <v>33</v>
      </c>
      <c r="BZ121" s="2" t="s">
        <v>33</v>
      </c>
      <c r="CA121" s="2" t="s">
        <v>33</v>
      </c>
      <c r="CB121" s="2" t="s">
        <v>33</v>
      </c>
      <c r="CC121" s="2" t="s">
        <v>2045</v>
      </c>
      <c r="CD121" s="2">
        <v>4.0</v>
      </c>
      <c r="CE121" s="2" t="s">
        <v>1172</v>
      </c>
      <c r="CF121" s="2" t="s">
        <v>1019</v>
      </c>
      <c r="CG121" s="2" t="s">
        <v>999</v>
      </c>
      <c r="CH121" s="2" t="s">
        <v>33</v>
      </c>
      <c r="CI121" s="2" t="s">
        <v>33</v>
      </c>
      <c r="CJ121" s="2" t="s">
        <v>33</v>
      </c>
      <c r="CK121" s="2" t="s">
        <v>425</v>
      </c>
      <c r="CL121" s="2" t="s">
        <v>367</v>
      </c>
      <c r="CM121" s="4">
        <v>45724.0</v>
      </c>
      <c r="CN121" s="4">
        <v>45727.0</v>
      </c>
      <c r="CO121" s="2">
        <v>4.0</v>
      </c>
      <c r="CP121" s="2" t="s">
        <v>529</v>
      </c>
      <c r="CQ121" s="2" t="s">
        <v>441</v>
      </c>
      <c r="CR121" s="2" t="s">
        <v>370</v>
      </c>
      <c r="CS121" s="2" t="s">
        <v>529</v>
      </c>
      <c r="CT121" s="2" t="s">
        <v>368</v>
      </c>
      <c r="CU121" s="2" t="s">
        <v>372</v>
      </c>
    </row>
    <row r="122" ht="12.75" customHeight="1">
      <c r="A122" s="2">
        <v>121.0</v>
      </c>
      <c r="B122" s="2">
        <v>1.0</v>
      </c>
      <c r="C122" s="2" t="s">
        <v>358</v>
      </c>
      <c r="D122" s="2" t="s">
        <v>359</v>
      </c>
      <c r="E122" s="2" t="s">
        <v>473</v>
      </c>
      <c r="F122" s="2" t="s">
        <v>437</v>
      </c>
      <c r="G122" s="2" t="s">
        <v>437</v>
      </c>
      <c r="H122" s="2" t="s">
        <v>474</v>
      </c>
      <c r="I122" s="2" t="s">
        <v>2046</v>
      </c>
      <c r="J122" s="2" t="s">
        <v>2046</v>
      </c>
      <c r="K122" s="2" t="s">
        <v>366</v>
      </c>
      <c r="L122" s="2" t="s">
        <v>1056</v>
      </c>
      <c r="M122" s="2" t="s">
        <v>368</v>
      </c>
      <c r="N122" s="2" t="s">
        <v>441</v>
      </c>
      <c r="O122" s="2" t="s">
        <v>370</v>
      </c>
      <c r="P122" s="2" t="s">
        <v>372</v>
      </c>
      <c r="Q122" s="2" t="s">
        <v>480</v>
      </c>
      <c r="R122" s="2" t="s">
        <v>480</v>
      </c>
      <c r="S122" s="2" t="s">
        <v>378</v>
      </c>
      <c r="T122" s="2" t="s">
        <v>376</v>
      </c>
      <c r="U122" s="2" t="s">
        <v>376</v>
      </c>
      <c r="V122" s="2" t="s">
        <v>376</v>
      </c>
      <c r="W122" s="2" t="s">
        <v>444</v>
      </c>
      <c r="X122" s="2" t="s">
        <v>376</v>
      </c>
      <c r="Y122" s="2" t="s">
        <v>376</v>
      </c>
      <c r="Z122" s="2" t="s">
        <v>378</v>
      </c>
      <c r="AA122" s="2" t="s">
        <v>382</v>
      </c>
      <c r="AB122" s="2" t="s">
        <v>359</v>
      </c>
      <c r="AC122" s="2" t="s">
        <v>450</v>
      </c>
      <c r="AD122" s="2" t="s">
        <v>451</v>
      </c>
      <c r="AE122" s="2" t="s">
        <v>452</v>
      </c>
      <c r="AF122" s="2" t="s">
        <v>386</v>
      </c>
      <c r="AG122" s="2" t="s">
        <v>387</v>
      </c>
      <c r="AH122" s="2" t="s">
        <v>388</v>
      </c>
      <c r="AI122" s="2" t="s">
        <v>455</v>
      </c>
      <c r="AJ122" s="2" t="s">
        <v>33</v>
      </c>
      <c r="AK122" s="2" t="s">
        <v>33</v>
      </c>
      <c r="AL122" s="2">
        <v>1.0</v>
      </c>
      <c r="AM122" s="2">
        <v>5.0</v>
      </c>
      <c r="AN122" s="2">
        <v>1.0</v>
      </c>
      <c r="AO122" s="2">
        <v>2.0</v>
      </c>
      <c r="AP122" s="2">
        <v>2.0</v>
      </c>
      <c r="AQ122" s="2">
        <v>1.0</v>
      </c>
      <c r="AR122" s="2">
        <v>4.0</v>
      </c>
      <c r="AS122" s="2">
        <v>3.0</v>
      </c>
      <c r="AT122" s="2">
        <v>2.0</v>
      </c>
      <c r="AU122" s="2">
        <v>2.0</v>
      </c>
      <c r="AV122" s="2">
        <v>4.0</v>
      </c>
      <c r="AW122" s="2">
        <v>4.0</v>
      </c>
      <c r="AX122" s="2">
        <v>4.0</v>
      </c>
      <c r="AY122" s="2">
        <v>2.0</v>
      </c>
      <c r="AZ122" s="2">
        <v>4.0</v>
      </c>
      <c r="BA122" s="2">
        <v>2.0</v>
      </c>
      <c r="BB122" s="2">
        <v>1.0</v>
      </c>
      <c r="BC122" s="2">
        <v>3.0</v>
      </c>
      <c r="BD122" s="2">
        <v>3.0</v>
      </c>
      <c r="BE122" s="2">
        <v>4.0</v>
      </c>
      <c r="BF122" s="2">
        <v>3.0</v>
      </c>
      <c r="BG122" s="2">
        <v>2.0</v>
      </c>
      <c r="BH122" s="2">
        <v>1.0</v>
      </c>
      <c r="BI122" s="2">
        <v>2.0</v>
      </c>
      <c r="BJ122" s="2">
        <v>1.0</v>
      </c>
      <c r="BK122" s="2">
        <v>1.0</v>
      </c>
      <c r="BL122" s="2">
        <v>2.0</v>
      </c>
      <c r="BM122" s="2">
        <v>1.0</v>
      </c>
      <c r="BN122" s="2">
        <v>3.0</v>
      </c>
      <c r="BO122" s="2">
        <v>1.0</v>
      </c>
      <c r="BP122" s="2">
        <v>4.0</v>
      </c>
      <c r="BQ122" s="2" t="s">
        <v>568</v>
      </c>
      <c r="BR122" s="2" t="s">
        <v>389</v>
      </c>
      <c r="BS122" s="2" t="s">
        <v>390</v>
      </c>
      <c r="BT122" s="2" t="s">
        <v>391</v>
      </c>
      <c r="BU122" s="2" t="s">
        <v>392</v>
      </c>
      <c r="BV122" s="2" t="s">
        <v>393</v>
      </c>
      <c r="BW122" s="2" t="s">
        <v>394</v>
      </c>
      <c r="BX122" s="2" t="s">
        <v>395</v>
      </c>
      <c r="BY122" s="2" t="s">
        <v>396</v>
      </c>
      <c r="BZ122" s="2" t="s">
        <v>573</v>
      </c>
      <c r="CA122" s="2" t="s">
        <v>730</v>
      </c>
      <c r="CB122" s="2" t="s">
        <v>33</v>
      </c>
      <c r="CC122" s="2" t="s">
        <v>2047</v>
      </c>
      <c r="CD122" s="2">
        <v>3.0</v>
      </c>
      <c r="CE122" s="2" t="s">
        <v>952</v>
      </c>
      <c r="CF122" s="2" t="s">
        <v>1019</v>
      </c>
      <c r="CG122" s="2" t="s">
        <v>33</v>
      </c>
      <c r="CH122" s="2" t="s">
        <v>33</v>
      </c>
      <c r="CI122" s="2" t="s">
        <v>33</v>
      </c>
      <c r="CJ122" s="2" t="s">
        <v>33</v>
      </c>
      <c r="CK122" s="2" t="s">
        <v>2046</v>
      </c>
      <c r="CL122" s="2" t="s">
        <v>466</v>
      </c>
      <c r="CM122" s="4">
        <v>45734.0</v>
      </c>
      <c r="CN122" s="4">
        <v>45737.0</v>
      </c>
      <c r="CO122" s="2">
        <v>4.0</v>
      </c>
      <c r="CP122" s="2" t="s">
        <v>529</v>
      </c>
      <c r="CQ122" s="2" t="s">
        <v>441</v>
      </c>
      <c r="CR122" s="2" t="s">
        <v>370</v>
      </c>
      <c r="CS122" s="2" t="s">
        <v>529</v>
      </c>
      <c r="CT122" s="2" t="s">
        <v>368</v>
      </c>
      <c r="CU122" s="2" t="s">
        <v>372</v>
      </c>
    </row>
    <row r="123" ht="12.75" customHeight="1">
      <c r="A123" s="2">
        <v>122.0</v>
      </c>
      <c r="B123" s="2">
        <v>4.0</v>
      </c>
      <c r="C123" s="2" t="s">
        <v>358</v>
      </c>
      <c r="D123" s="2" t="s">
        <v>639</v>
      </c>
      <c r="E123" s="2" t="s">
        <v>360</v>
      </c>
      <c r="F123" s="2" t="s">
        <v>539</v>
      </c>
      <c r="G123" s="2" t="s">
        <v>539</v>
      </c>
      <c r="H123" s="2" t="s">
        <v>362</v>
      </c>
      <c r="I123" s="2" t="s">
        <v>425</v>
      </c>
      <c r="J123" s="2" t="s">
        <v>365</v>
      </c>
      <c r="K123" s="2" t="s">
        <v>366</v>
      </c>
      <c r="L123" s="2" t="s">
        <v>367</v>
      </c>
      <c r="M123" s="2" t="s">
        <v>368</v>
      </c>
      <c r="N123" s="2" t="s">
        <v>369</v>
      </c>
      <c r="O123" s="2" t="s">
        <v>370</v>
      </c>
      <c r="P123" s="2" t="s">
        <v>372</v>
      </c>
      <c r="Q123" s="2" t="s">
        <v>361</v>
      </c>
      <c r="R123" s="2" t="s">
        <v>361</v>
      </c>
      <c r="S123" s="2" t="s">
        <v>378</v>
      </c>
      <c r="T123" s="2" t="s">
        <v>378</v>
      </c>
      <c r="U123" s="2" t="s">
        <v>376</v>
      </c>
      <c r="V123" s="2" t="s">
        <v>376</v>
      </c>
      <c r="W123" s="2" t="s">
        <v>378</v>
      </c>
      <c r="X123" s="2" t="s">
        <v>378</v>
      </c>
      <c r="Y123" s="2" t="s">
        <v>376</v>
      </c>
      <c r="Z123" s="2" t="s">
        <v>378</v>
      </c>
      <c r="AA123" s="2" t="s">
        <v>447</v>
      </c>
      <c r="AB123" s="2" t="s">
        <v>359</v>
      </c>
      <c r="AC123" s="2" t="s">
        <v>653</v>
      </c>
      <c r="AD123" s="2" t="s">
        <v>33</v>
      </c>
      <c r="AE123" s="2" t="s">
        <v>33</v>
      </c>
      <c r="AF123" s="2" t="s">
        <v>33</v>
      </c>
      <c r="AG123" s="2" t="s">
        <v>33</v>
      </c>
      <c r="AH123" s="2" t="s">
        <v>33</v>
      </c>
      <c r="AI123" s="2" t="s">
        <v>33</v>
      </c>
      <c r="AJ123" s="2" t="s">
        <v>33</v>
      </c>
      <c r="AK123" s="2" t="s">
        <v>33</v>
      </c>
      <c r="AL123" s="2">
        <v>5.0</v>
      </c>
      <c r="AM123" s="2">
        <v>1.0</v>
      </c>
      <c r="AN123" s="2">
        <v>2.0</v>
      </c>
      <c r="AO123" s="2">
        <v>4.0</v>
      </c>
      <c r="AP123" s="2">
        <v>5.0</v>
      </c>
      <c r="AQ123" s="2">
        <v>1.0</v>
      </c>
      <c r="AR123" s="2">
        <v>3.0</v>
      </c>
      <c r="AS123" s="2">
        <v>3.0</v>
      </c>
      <c r="AT123" s="2">
        <v>4.0</v>
      </c>
      <c r="AU123" s="2">
        <v>1.0</v>
      </c>
      <c r="AV123" s="2">
        <v>5.0</v>
      </c>
      <c r="AW123" s="2">
        <v>5.0</v>
      </c>
      <c r="AX123" s="2">
        <v>3.0</v>
      </c>
      <c r="AY123" s="2">
        <v>5.0</v>
      </c>
      <c r="AZ123" s="2">
        <v>5.0</v>
      </c>
      <c r="BA123" s="2">
        <v>5.0</v>
      </c>
      <c r="BB123" s="2">
        <v>1.0</v>
      </c>
      <c r="BC123" s="2">
        <v>1.0</v>
      </c>
      <c r="BD123" s="2">
        <v>1.0</v>
      </c>
      <c r="BE123" s="2">
        <v>5.0</v>
      </c>
      <c r="BF123" s="2">
        <v>1.0</v>
      </c>
      <c r="BG123" s="2">
        <v>2.0</v>
      </c>
      <c r="BH123" s="2">
        <v>1.0</v>
      </c>
      <c r="BI123" s="2">
        <v>1.0</v>
      </c>
      <c r="BJ123" s="2">
        <v>1.0</v>
      </c>
      <c r="BK123" s="2">
        <v>1.0</v>
      </c>
      <c r="BL123" s="2">
        <v>1.0</v>
      </c>
      <c r="BM123" s="2">
        <v>1.0</v>
      </c>
      <c r="BN123" s="2">
        <v>2.0</v>
      </c>
      <c r="BO123" s="2">
        <v>1.0</v>
      </c>
      <c r="BP123" s="2">
        <v>1.0</v>
      </c>
      <c r="BQ123" s="2" t="s">
        <v>568</v>
      </c>
      <c r="BR123" s="2" t="s">
        <v>389</v>
      </c>
      <c r="BS123" s="2" t="s">
        <v>390</v>
      </c>
      <c r="BT123" s="2" t="s">
        <v>391</v>
      </c>
      <c r="BU123" s="2" t="s">
        <v>393</v>
      </c>
      <c r="BV123" s="2" t="s">
        <v>395</v>
      </c>
      <c r="BW123" s="2" t="s">
        <v>396</v>
      </c>
      <c r="BX123" s="2" t="s">
        <v>33</v>
      </c>
      <c r="BY123" s="2" t="s">
        <v>33</v>
      </c>
      <c r="BZ123" s="2" t="s">
        <v>33</v>
      </c>
      <c r="CA123" s="2" t="s">
        <v>33</v>
      </c>
      <c r="CB123" s="2" t="s">
        <v>33</v>
      </c>
      <c r="CC123" s="2" t="s">
        <v>2048</v>
      </c>
      <c r="CD123" s="2">
        <v>3.0</v>
      </c>
      <c r="CE123" s="2" t="s">
        <v>899</v>
      </c>
      <c r="CF123" s="2" t="s">
        <v>1019</v>
      </c>
      <c r="CG123" s="2" t="s">
        <v>33</v>
      </c>
      <c r="CH123" s="2" t="s">
        <v>33</v>
      </c>
      <c r="CI123" s="2" t="s">
        <v>33</v>
      </c>
      <c r="CJ123" s="2" t="s">
        <v>33</v>
      </c>
      <c r="CK123" s="2" t="s">
        <v>425</v>
      </c>
      <c r="CL123" s="2" t="s">
        <v>367</v>
      </c>
      <c r="CM123" s="4">
        <v>45299.0</v>
      </c>
      <c r="CN123" s="4">
        <v>45303.0</v>
      </c>
      <c r="CO123" s="2">
        <v>5.0</v>
      </c>
      <c r="CP123" s="2" t="s">
        <v>434</v>
      </c>
      <c r="CQ123" s="2" t="s">
        <v>369</v>
      </c>
      <c r="CR123" s="2" t="s">
        <v>370</v>
      </c>
      <c r="CS123" s="2" t="s">
        <v>434</v>
      </c>
      <c r="CT123" s="2" t="s">
        <v>368</v>
      </c>
      <c r="CU123" s="2" t="s">
        <v>372</v>
      </c>
    </row>
    <row r="124" ht="12.75" customHeight="1">
      <c r="A124" s="2">
        <v>123.0</v>
      </c>
      <c r="B124" s="2">
        <v>1.0</v>
      </c>
      <c r="C124" s="2" t="s">
        <v>358</v>
      </c>
      <c r="D124" s="2" t="s">
        <v>359</v>
      </c>
      <c r="E124" s="2" t="s">
        <v>473</v>
      </c>
      <c r="F124" s="2" t="s">
        <v>361</v>
      </c>
      <c r="G124" s="2" t="s">
        <v>361</v>
      </c>
      <c r="H124" s="2" t="s">
        <v>362</v>
      </c>
      <c r="I124" s="2" t="s">
        <v>859</v>
      </c>
      <c r="J124" s="2" t="s">
        <v>599</v>
      </c>
      <c r="K124" s="2" t="s">
        <v>366</v>
      </c>
      <c r="L124" s="2" t="s">
        <v>599</v>
      </c>
      <c r="M124" s="2" t="s">
        <v>368</v>
      </c>
      <c r="N124" s="2" t="s">
        <v>802</v>
      </c>
      <c r="O124" s="2" t="s">
        <v>370</v>
      </c>
      <c r="P124" s="2" t="s">
        <v>762</v>
      </c>
      <c r="Q124" s="2" t="s">
        <v>480</v>
      </c>
      <c r="R124" s="2" t="s">
        <v>480</v>
      </c>
      <c r="S124" s="2" t="s">
        <v>444</v>
      </c>
      <c r="T124" s="2" t="s">
        <v>376</v>
      </c>
      <c r="U124" s="2" t="s">
        <v>376</v>
      </c>
      <c r="V124" s="2" t="s">
        <v>376</v>
      </c>
      <c r="W124" s="2" t="s">
        <v>378</v>
      </c>
      <c r="X124" s="2" t="s">
        <v>444</v>
      </c>
      <c r="Y124" s="2" t="s">
        <v>444</v>
      </c>
      <c r="Z124" s="2" t="s">
        <v>444</v>
      </c>
      <c r="AA124" s="2" t="s">
        <v>1031</v>
      </c>
      <c r="AB124" s="2" t="s">
        <v>359</v>
      </c>
      <c r="AC124" s="2" t="s">
        <v>552</v>
      </c>
      <c r="AD124" s="2" t="s">
        <v>388</v>
      </c>
      <c r="AE124" s="2" t="s">
        <v>455</v>
      </c>
      <c r="AF124" s="2" t="s">
        <v>33</v>
      </c>
      <c r="AG124" s="2" t="s">
        <v>33</v>
      </c>
      <c r="AH124" s="2" t="s">
        <v>33</v>
      </c>
      <c r="AI124" s="2" t="s">
        <v>33</v>
      </c>
      <c r="AJ124" s="2" t="s">
        <v>33</v>
      </c>
      <c r="AK124" s="2" t="s">
        <v>33</v>
      </c>
      <c r="AL124" s="2">
        <v>1.0</v>
      </c>
      <c r="AM124" s="2">
        <v>3.0</v>
      </c>
      <c r="AN124" s="2">
        <v>1.0</v>
      </c>
      <c r="AO124" s="2">
        <v>3.0</v>
      </c>
      <c r="AP124" s="2">
        <v>3.0</v>
      </c>
      <c r="AQ124" s="2">
        <v>2.0</v>
      </c>
      <c r="AR124" s="2">
        <v>2.0</v>
      </c>
      <c r="AS124" s="2">
        <v>3.0</v>
      </c>
      <c r="AT124" s="2">
        <v>1.0</v>
      </c>
      <c r="AU124" s="2">
        <v>3.0</v>
      </c>
      <c r="AV124" s="2">
        <v>1.0</v>
      </c>
      <c r="AW124" s="2">
        <v>1.0</v>
      </c>
      <c r="AX124" s="2">
        <v>1.0</v>
      </c>
      <c r="AY124" s="2">
        <v>3.0</v>
      </c>
      <c r="AZ124" s="2">
        <v>1.0</v>
      </c>
      <c r="BA124" s="2">
        <v>3.0</v>
      </c>
      <c r="BB124" s="2">
        <v>1.0</v>
      </c>
      <c r="BC124" s="2">
        <v>1.0</v>
      </c>
      <c r="BD124" s="2">
        <v>1.0</v>
      </c>
      <c r="BE124" s="2">
        <v>4.0</v>
      </c>
      <c r="BF124" s="2">
        <v>1.0</v>
      </c>
      <c r="BG124" s="2">
        <v>1.0</v>
      </c>
      <c r="BH124" s="2">
        <v>1.0</v>
      </c>
      <c r="BI124" s="2">
        <v>1.0</v>
      </c>
      <c r="BJ124" s="2">
        <v>1.0</v>
      </c>
      <c r="BK124" s="2">
        <v>1.0</v>
      </c>
      <c r="BL124" s="2">
        <v>1.0</v>
      </c>
      <c r="BM124" s="2">
        <v>1.0</v>
      </c>
      <c r="BN124" s="2">
        <v>1.0</v>
      </c>
      <c r="BO124" s="2">
        <v>1.0</v>
      </c>
      <c r="BP124" s="2">
        <v>1.0</v>
      </c>
      <c r="BQ124" s="2" t="s">
        <v>390</v>
      </c>
      <c r="BR124" s="2" t="s">
        <v>391</v>
      </c>
      <c r="BS124" s="2" t="s">
        <v>392</v>
      </c>
      <c r="BT124" s="2" t="s">
        <v>393</v>
      </c>
      <c r="BU124" s="2" t="s">
        <v>394</v>
      </c>
      <c r="BV124" s="2" t="s">
        <v>396</v>
      </c>
      <c r="BW124" s="2" t="s">
        <v>33</v>
      </c>
      <c r="BX124" s="2" t="s">
        <v>33</v>
      </c>
      <c r="BY124" s="2" t="s">
        <v>33</v>
      </c>
      <c r="BZ124" s="2" t="s">
        <v>33</v>
      </c>
      <c r="CA124" s="2" t="s">
        <v>33</v>
      </c>
      <c r="CB124" s="2" t="s">
        <v>33</v>
      </c>
      <c r="CC124" s="2" t="s">
        <v>2049</v>
      </c>
      <c r="CD124" s="2">
        <v>4.0</v>
      </c>
      <c r="CE124" s="2" t="s">
        <v>794</v>
      </c>
      <c r="CF124" s="2" t="s">
        <v>952</v>
      </c>
      <c r="CG124" s="2" t="s">
        <v>998</v>
      </c>
      <c r="CH124" s="2" t="s">
        <v>999</v>
      </c>
      <c r="CI124" s="2" t="s">
        <v>33</v>
      </c>
      <c r="CJ124" s="2" t="s">
        <v>33</v>
      </c>
      <c r="CK124" s="2" t="s">
        <v>859</v>
      </c>
      <c r="CL124" s="2" t="s">
        <v>466</v>
      </c>
      <c r="CM124" s="2" t="s">
        <v>33</v>
      </c>
      <c r="CN124" s="2" t="s">
        <v>33</v>
      </c>
      <c r="CO124" s="2" t="s">
        <v>33</v>
      </c>
      <c r="CP124" s="2" t="s">
        <v>529</v>
      </c>
      <c r="CQ124" s="2" t="s">
        <v>802</v>
      </c>
      <c r="CR124" s="2" t="s">
        <v>370</v>
      </c>
      <c r="CS124" s="2" t="s">
        <v>529</v>
      </c>
      <c r="CT124" s="2" t="s">
        <v>368</v>
      </c>
      <c r="CU124" s="2" t="s">
        <v>762</v>
      </c>
    </row>
    <row r="125" ht="12.75" customHeight="1">
      <c r="A125" s="2">
        <v>124.0</v>
      </c>
      <c r="B125" s="2">
        <v>4.0</v>
      </c>
      <c r="C125" s="2" t="s">
        <v>358</v>
      </c>
      <c r="D125" s="2" t="s">
        <v>359</v>
      </c>
      <c r="E125" s="2" t="s">
        <v>360</v>
      </c>
      <c r="F125" s="2" t="s">
        <v>539</v>
      </c>
      <c r="G125" s="2" t="s">
        <v>539</v>
      </c>
      <c r="H125" s="2" t="s">
        <v>474</v>
      </c>
      <c r="I125" s="2" t="s">
        <v>425</v>
      </c>
      <c r="J125" s="2" t="s">
        <v>365</v>
      </c>
      <c r="K125" s="2" t="s">
        <v>366</v>
      </c>
      <c r="L125" s="2" t="s">
        <v>367</v>
      </c>
      <c r="M125" s="2" t="s">
        <v>368</v>
      </c>
      <c r="N125" s="2" t="s">
        <v>441</v>
      </c>
      <c r="O125" s="2" t="s">
        <v>370</v>
      </c>
      <c r="P125" s="2" t="s">
        <v>372</v>
      </c>
      <c r="Q125" s="2" t="s">
        <v>443</v>
      </c>
      <c r="R125" s="2" t="s">
        <v>443</v>
      </c>
      <c r="S125" s="2" t="s">
        <v>378</v>
      </c>
      <c r="T125" s="2" t="s">
        <v>378</v>
      </c>
      <c r="U125" s="2" t="s">
        <v>378</v>
      </c>
      <c r="V125" s="2" t="s">
        <v>378</v>
      </c>
      <c r="W125" s="2" t="s">
        <v>378</v>
      </c>
      <c r="X125" s="2" t="s">
        <v>378</v>
      </c>
      <c r="Y125" s="2" t="s">
        <v>378</v>
      </c>
      <c r="Z125" s="2" t="s">
        <v>378</v>
      </c>
      <c r="AA125" s="2" t="s">
        <v>382</v>
      </c>
      <c r="AB125" s="2" t="s">
        <v>359</v>
      </c>
      <c r="AC125" s="2" t="s">
        <v>450</v>
      </c>
      <c r="AD125" s="2" t="s">
        <v>452</v>
      </c>
      <c r="AE125" s="2" t="s">
        <v>386</v>
      </c>
      <c r="AF125" s="2" t="s">
        <v>387</v>
      </c>
      <c r="AG125" s="2" t="s">
        <v>388</v>
      </c>
      <c r="AH125" s="2" t="s">
        <v>454</v>
      </c>
      <c r="AI125" s="2" t="s">
        <v>455</v>
      </c>
      <c r="AJ125" s="2" t="s">
        <v>33</v>
      </c>
      <c r="AK125" s="2" t="s">
        <v>33</v>
      </c>
      <c r="AL125" s="2">
        <v>3.0</v>
      </c>
      <c r="AM125" s="2">
        <v>1.0</v>
      </c>
      <c r="AN125" s="2">
        <v>3.0</v>
      </c>
      <c r="AO125" s="2">
        <v>1.0</v>
      </c>
      <c r="AP125" s="2">
        <v>5.0</v>
      </c>
      <c r="AQ125" s="2">
        <v>1.0</v>
      </c>
      <c r="AR125" s="2">
        <v>5.0</v>
      </c>
      <c r="AS125" s="2">
        <v>1.0</v>
      </c>
      <c r="AT125" s="2">
        <v>2.0</v>
      </c>
      <c r="AU125" s="2">
        <v>2.0</v>
      </c>
      <c r="AV125" s="2">
        <v>5.0</v>
      </c>
      <c r="AW125" s="2">
        <v>5.0</v>
      </c>
      <c r="AX125" s="2">
        <v>1.0</v>
      </c>
      <c r="AY125" s="2">
        <v>1.0</v>
      </c>
      <c r="AZ125" s="2">
        <v>2.0</v>
      </c>
      <c r="BA125" s="2">
        <v>5.0</v>
      </c>
      <c r="BB125" s="2">
        <v>2.0</v>
      </c>
      <c r="BC125" s="2">
        <v>1.0</v>
      </c>
      <c r="BD125" s="2">
        <v>1.0</v>
      </c>
      <c r="BE125" s="2">
        <v>5.0</v>
      </c>
      <c r="BF125" s="2">
        <v>1.0</v>
      </c>
      <c r="BG125" s="2">
        <v>1.0</v>
      </c>
      <c r="BH125" s="2">
        <v>1.0</v>
      </c>
      <c r="BI125" s="2">
        <v>1.0</v>
      </c>
      <c r="BJ125" s="2">
        <v>3.0</v>
      </c>
      <c r="BK125" s="2">
        <v>1.0</v>
      </c>
      <c r="BL125" s="2">
        <v>1.0</v>
      </c>
      <c r="BM125" s="2">
        <v>1.0</v>
      </c>
      <c r="BN125" s="2">
        <v>2.0</v>
      </c>
      <c r="BO125" s="2">
        <v>1.0</v>
      </c>
      <c r="BP125" s="2">
        <v>1.0</v>
      </c>
      <c r="BQ125" s="2" t="s">
        <v>389</v>
      </c>
      <c r="BR125" s="2" t="s">
        <v>390</v>
      </c>
      <c r="BS125" s="2" t="s">
        <v>391</v>
      </c>
      <c r="BT125" s="2" t="s">
        <v>392</v>
      </c>
      <c r="BU125" s="2" t="s">
        <v>393</v>
      </c>
      <c r="BV125" s="2" t="s">
        <v>394</v>
      </c>
      <c r="BW125" s="2" t="s">
        <v>395</v>
      </c>
      <c r="BX125" s="2" t="s">
        <v>33</v>
      </c>
      <c r="BY125" s="2" t="s">
        <v>33</v>
      </c>
      <c r="BZ125" s="2" t="s">
        <v>33</v>
      </c>
      <c r="CA125" s="2" t="s">
        <v>33</v>
      </c>
      <c r="CB125" s="2" t="s">
        <v>33</v>
      </c>
      <c r="CC125" s="2" t="s">
        <v>2050</v>
      </c>
      <c r="CD125" s="2">
        <v>5.0</v>
      </c>
      <c r="CE125" s="2" t="s">
        <v>794</v>
      </c>
      <c r="CF125" s="2" t="s">
        <v>952</v>
      </c>
      <c r="CG125" s="2" t="s">
        <v>1019</v>
      </c>
      <c r="CH125" s="2" t="s">
        <v>999</v>
      </c>
      <c r="CI125" s="2" t="s">
        <v>33</v>
      </c>
      <c r="CJ125" s="2" t="s">
        <v>33</v>
      </c>
      <c r="CK125" s="2" t="s">
        <v>425</v>
      </c>
      <c r="CL125" s="2" t="s">
        <v>367</v>
      </c>
      <c r="CM125" s="4">
        <v>45730.0</v>
      </c>
      <c r="CN125" s="4">
        <v>45734.0</v>
      </c>
      <c r="CO125" s="2">
        <v>5.0</v>
      </c>
      <c r="CP125" s="2" t="s">
        <v>434</v>
      </c>
      <c r="CQ125" s="2" t="s">
        <v>441</v>
      </c>
      <c r="CR125" s="2" t="s">
        <v>370</v>
      </c>
      <c r="CS125" s="2" t="s">
        <v>434</v>
      </c>
      <c r="CT125" s="2" t="s">
        <v>368</v>
      </c>
      <c r="CU125" s="2" t="s">
        <v>372</v>
      </c>
    </row>
    <row r="126" ht="12.75" customHeight="1">
      <c r="A126" s="2">
        <v>125.0</v>
      </c>
      <c r="B126" s="2">
        <v>6.0</v>
      </c>
      <c r="C126" s="2" t="s">
        <v>2012</v>
      </c>
      <c r="D126" s="2" t="s">
        <v>359</v>
      </c>
      <c r="E126" s="2" t="s">
        <v>473</v>
      </c>
      <c r="F126" s="2" t="s">
        <v>437</v>
      </c>
      <c r="G126" s="2" t="s">
        <v>437</v>
      </c>
      <c r="H126" s="2" t="s">
        <v>540</v>
      </c>
      <c r="I126" s="2" t="s">
        <v>425</v>
      </c>
      <c r="J126" s="2" t="s">
        <v>365</v>
      </c>
      <c r="K126" s="2" t="s">
        <v>366</v>
      </c>
      <c r="L126" s="2" t="s">
        <v>367</v>
      </c>
      <c r="M126" s="2" t="s">
        <v>368</v>
      </c>
      <c r="N126" s="2" t="s">
        <v>441</v>
      </c>
      <c r="O126" s="2" t="s">
        <v>442</v>
      </c>
      <c r="P126" s="2" t="s">
        <v>372</v>
      </c>
      <c r="Q126" s="2" t="s">
        <v>480</v>
      </c>
      <c r="R126" s="2" t="s">
        <v>480</v>
      </c>
      <c r="S126" s="2" t="s">
        <v>378</v>
      </c>
      <c r="T126" s="2" t="s">
        <v>378</v>
      </c>
      <c r="U126" s="2" t="s">
        <v>378</v>
      </c>
      <c r="V126" s="2" t="s">
        <v>378</v>
      </c>
      <c r="W126" s="2" t="s">
        <v>376</v>
      </c>
      <c r="X126" s="2" t="s">
        <v>444</v>
      </c>
      <c r="Y126" s="2" t="s">
        <v>378</v>
      </c>
      <c r="Z126" s="2" t="s">
        <v>378</v>
      </c>
      <c r="AA126" s="2" t="s">
        <v>382</v>
      </c>
      <c r="AB126" s="2" t="s">
        <v>1112</v>
      </c>
      <c r="AC126" s="2" t="s">
        <v>1094</v>
      </c>
      <c r="AD126" s="2" t="s">
        <v>33</v>
      </c>
      <c r="AE126" s="2" t="s">
        <v>33</v>
      </c>
      <c r="AF126" s="2" t="s">
        <v>33</v>
      </c>
      <c r="AG126" s="2" t="s">
        <v>33</v>
      </c>
      <c r="AH126" s="2" t="s">
        <v>33</v>
      </c>
      <c r="AI126" s="2" t="s">
        <v>33</v>
      </c>
      <c r="AJ126" s="2" t="s">
        <v>33</v>
      </c>
      <c r="AK126" s="2" t="s">
        <v>33</v>
      </c>
      <c r="AL126" s="2">
        <v>4.0</v>
      </c>
      <c r="AM126" s="2">
        <v>5.0</v>
      </c>
      <c r="AN126" s="2">
        <v>4.0</v>
      </c>
      <c r="AO126" s="2">
        <v>1.0</v>
      </c>
      <c r="AP126" s="2">
        <v>1.0</v>
      </c>
      <c r="AQ126" s="2">
        <v>1.0</v>
      </c>
      <c r="AR126" s="2">
        <v>1.0</v>
      </c>
      <c r="AS126" s="2">
        <v>2.0</v>
      </c>
      <c r="AT126" s="2">
        <v>2.0</v>
      </c>
      <c r="AU126" s="2">
        <v>2.0</v>
      </c>
      <c r="AV126" s="2">
        <v>5.0</v>
      </c>
      <c r="AW126" s="2">
        <v>5.0</v>
      </c>
      <c r="AX126" s="2">
        <v>2.0</v>
      </c>
      <c r="AY126" s="2">
        <v>2.0</v>
      </c>
      <c r="AZ126" s="2">
        <v>2.0</v>
      </c>
      <c r="BA126" s="2">
        <v>1.0</v>
      </c>
      <c r="BB126" s="2">
        <v>1.0</v>
      </c>
      <c r="BC126" s="2">
        <v>2.0</v>
      </c>
      <c r="BD126" s="2">
        <v>4.0</v>
      </c>
      <c r="BE126" s="2">
        <v>5.0</v>
      </c>
      <c r="BF126" s="2">
        <v>2.0</v>
      </c>
      <c r="BG126" s="2">
        <v>1.0</v>
      </c>
      <c r="BH126" s="2">
        <v>1.0</v>
      </c>
      <c r="BI126" s="2">
        <v>1.0</v>
      </c>
      <c r="BJ126" s="2">
        <v>1.0</v>
      </c>
      <c r="BK126" s="2">
        <v>1.0</v>
      </c>
      <c r="BL126" s="2">
        <v>1.0</v>
      </c>
      <c r="BM126" s="2">
        <v>2.0</v>
      </c>
      <c r="BN126" s="2">
        <v>5.0</v>
      </c>
      <c r="BO126" s="2">
        <v>1.0</v>
      </c>
      <c r="BP126" s="2">
        <v>1.0</v>
      </c>
      <c r="BQ126" s="2" t="s">
        <v>568</v>
      </c>
      <c r="BR126" s="2" t="s">
        <v>389</v>
      </c>
      <c r="BS126" s="2" t="s">
        <v>390</v>
      </c>
      <c r="BT126" s="2" t="s">
        <v>391</v>
      </c>
      <c r="BU126" s="2" t="s">
        <v>392</v>
      </c>
      <c r="BV126" s="2" t="s">
        <v>393</v>
      </c>
      <c r="BW126" s="2" t="s">
        <v>394</v>
      </c>
      <c r="BX126" s="2" t="s">
        <v>395</v>
      </c>
      <c r="BY126" s="2" t="s">
        <v>519</v>
      </c>
      <c r="BZ126" s="2" t="s">
        <v>396</v>
      </c>
      <c r="CA126" s="2" t="s">
        <v>573</v>
      </c>
      <c r="CB126" s="2" t="s">
        <v>730</v>
      </c>
      <c r="CC126" s="2" t="s">
        <v>2051</v>
      </c>
      <c r="CD126" s="2">
        <v>1.0</v>
      </c>
      <c r="CE126" s="2" t="s">
        <v>999</v>
      </c>
      <c r="CF126" s="2" t="s">
        <v>33</v>
      </c>
      <c r="CG126" s="2" t="s">
        <v>33</v>
      </c>
      <c r="CH126" s="2" t="s">
        <v>33</v>
      </c>
      <c r="CI126" s="2" t="s">
        <v>33</v>
      </c>
      <c r="CJ126" s="2" t="s">
        <v>33</v>
      </c>
      <c r="CK126" s="2" t="s">
        <v>425</v>
      </c>
      <c r="CL126" s="2" t="s">
        <v>367</v>
      </c>
      <c r="CM126" s="4">
        <v>45737.0</v>
      </c>
      <c r="CN126" s="4">
        <v>45738.0</v>
      </c>
      <c r="CO126" s="2">
        <v>2.0</v>
      </c>
      <c r="CP126" s="2" t="s">
        <v>529</v>
      </c>
      <c r="CQ126" s="2" t="s">
        <v>441</v>
      </c>
      <c r="CR126" s="2" t="s">
        <v>442</v>
      </c>
      <c r="CS126" s="2" t="s">
        <v>529</v>
      </c>
      <c r="CT126" s="2" t="s">
        <v>368</v>
      </c>
      <c r="CU126" s="2" t="s">
        <v>372</v>
      </c>
    </row>
    <row r="127" ht="12.75" customHeight="1">
      <c r="A127" s="2">
        <v>126.0</v>
      </c>
      <c r="B127" s="2">
        <v>4.0</v>
      </c>
      <c r="C127" s="2" t="s">
        <v>358</v>
      </c>
      <c r="D127" s="2" t="s">
        <v>359</v>
      </c>
      <c r="E127" s="2" t="s">
        <v>473</v>
      </c>
      <c r="F127" s="2" t="s">
        <v>443</v>
      </c>
      <c r="G127" s="2" t="s">
        <v>443</v>
      </c>
      <c r="H127" s="2" t="s">
        <v>362</v>
      </c>
      <c r="I127" s="2" t="s">
        <v>859</v>
      </c>
      <c r="J127" s="2" t="s">
        <v>599</v>
      </c>
      <c r="K127" s="2" t="s">
        <v>366</v>
      </c>
      <c r="L127" s="2" t="s">
        <v>599</v>
      </c>
      <c r="M127" s="2" t="s">
        <v>368</v>
      </c>
      <c r="N127" s="2" t="s">
        <v>441</v>
      </c>
      <c r="O127" s="2" t="s">
        <v>442</v>
      </c>
      <c r="P127" s="2" t="s">
        <v>762</v>
      </c>
      <c r="Q127" s="2" t="s">
        <v>443</v>
      </c>
      <c r="R127" s="2" t="s">
        <v>443</v>
      </c>
      <c r="S127" s="2" t="s">
        <v>444</v>
      </c>
      <c r="T127" s="2" t="s">
        <v>378</v>
      </c>
      <c r="U127" s="2" t="s">
        <v>376</v>
      </c>
      <c r="V127" s="2" t="s">
        <v>376</v>
      </c>
      <c r="W127" s="2" t="s">
        <v>444</v>
      </c>
      <c r="X127" s="2" t="s">
        <v>444</v>
      </c>
      <c r="Y127" s="2" t="s">
        <v>444</v>
      </c>
      <c r="Z127" s="2" t="s">
        <v>378</v>
      </c>
      <c r="AA127" s="2" t="s">
        <v>864</v>
      </c>
      <c r="AB127" s="2" t="s">
        <v>551</v>
      </c>
      <c r="AC127" s="2" t="s">
        <v>552</v>
      </c>
      <c r="AD127" s="2" t="s">
        <v>452</v>
      </c>
      <c r="AE127" s="2" t="s">
        <v>387</v>
      </c>
      <c r="AF127" s="2" t="s">
        <v>33</v>
      </c>
      <c r="AG127" s="2" t="s">
        <v>33</v>
      </c>
      <c r="AH127" s="2" t="s">
        <v>33</v>
      </c>
      <c r="AI127" s="2" t="s">
        <v>33</v>
      </c>
      <c r="AJ127" s="2" t="s">
        <v>33</v>
      </c>
      <c r="AK127" s="2" t="s">
        <v>33</v>
      </c>
      <c r="AL127" s="2">
        <v>3.0</v>
      </c>
      <c r="AM127" s="2">
        <v>5.0</v>
      </c>
      <c r="AN127" s="2">
        <v>5.0</v>
      </c>
      <c r="AO127" s="2">
        <v>5.0</v>
      </c>
      <c r="AP127" s="2">
        <v>1.0</v>
      </c>
      <c r="AQ127" s="2">
        <v>2.0</v>
      </c>
      <c r="AR127" s="2">
        <v>5.0</v>
      </c>
      <c r="AS127" s="2">
        <v>5.0</v>
      </c>
      <c r="AT127" s="2">
        <v>5.0</v>
      </c>
      <c r="AU127" s="2">
        <v>1.0</v>
      </c>
      <c r="AV127" s="2">
        <v>2.0</v>
      </c>
      <c r="AW127" s="2">
        <v>4.0</v>
      </c>
      <c r="AX127" s="2">
        <v>1.0</v>
      </c>
      <c r="AY127" s="2">
        <v>1.0</v>
      </c>
      <c r="AZ127" s="2">
        <v>1.0</v>
      </c>
      <c r="BA127" s="2">
        <v>1.0</v>
      </c>
      <c r="BB127" s="2">
        <v>1.0</v>
      </c>
      <c r="BC127" s="2">
        <v>1.0</v>
      </c>
      <c r="BD127" s="2">
        <v>1.0</v>
      </c>
      <c r="BE127" s="2">
        <v>5.0</v>
      </c>
      <c r="BF127" s="2">
        <v>2.0</v>
      </c>
      <c r="BG127" s="2">
        <v>2.0</v>
      </c>
      <c r="BH127" s="2">
        <v>1.0</v>
      </c>
      <c r="BI127" s="2">
        <v>1.0</v>
      </c>
      <c r="BJ127" s="2">
        <v>2.0</v>
      </c>
      <c r="BK127" s="2">
        <v>1.0</v>
      </c>
      <c r="BL127" s="2">
        <v>1.0</v>
      </c>
      <c r="BM127" s="2">
        <v>1.0</v>
      </c>
      <c r="BN127" s="2">
        <v>3.0</v>
      </c>
      <c r="BO127" s="2">
        <v>1.0</v>
      </c>
      <c r="BP127" s="2">
        <v>3.0</v>
      </c>
      <c r="BQ127" s="2" t="s">
        <v>389</v>
      </c>
      <c r="BR127" s="2" t="s">
        <v>391</v>
      </c>
      <c r="BS127" s="2" t="s">
        <v>392</v>
      </c>
      <c r="BT127" s="2" t="s">
        <v>393</v>
      </c>
      <c r="BU127" s="2" t="s">
        <v>394</v>
      </c>
      <c r="BV127" s="2" t="s">
        <v>396</v>
      </c>
      <c r="BW127" s="2" t="s">
        <v>33</v>
      </c>
      <c r="BX127" s="2" t="s">
        <v>33</v>
      </c>
      <c r="BY127" s="2" t="s">
        <v>33</v>
      </c>
      <c r="BZ127" s="2" t="s">
        <v>33</v>
      </c>
      <c r="CA127" s="2" t="s">
        <v>33</v>
      </c>
      <c r="CB127" s="2" t="s">
        <v>33</v>
      </c>
      <c r="CC127" s="3" t="s">
        <v>2052</v>
      </c>
      <c r="CD127" s="2">
        <v>3.0</v>
      </c>
      <c r="CE127" s="2" t="s">
        <v>794</v>
      </c>
      <c r="CF127" s="2" t="s">
        <v>1172</v>
      </c>
      <c r="CG127" s="2" t="s">
        <v>33</v>
      </c>
      <c r="CH127" s="2" t="s">
        <v>33</v>
      </c>
      <c r="CI127" s="2" t="s">
        <v>33</v>
      </c>
      <c r="CJ127" s="2" t="s">
        <v>33</v>
      </c>
      <c r="CK127" s="2" t="s">
        <v>859</v>
      </c>
      <c r="CL127" s="2" t="s">
        <v>466</v>
      </c>
      <c r="CM127" s="4">
        <v>45732.0</v>
      </c>
      <c r="CN127" s="4">
        <v>45735.0</v>
      </c>
      <c r="CO127" s="2">
        <v>4.0</v>
      </c>
      <c r="CP127" s="2" t="s">
        <v>434</v>
      </c>
      <c r="CQ127" s="2" t="s">
        <v>441</v>
      </c>
      <c r="CR127" s="2" t="s">
        <v>442</v>
      </c>
      <c r="CS127" s="2" t="s">
        <v>434</v>
      </c>
      <c r="CT127" s="2" t="s">
        <v>368</v>
      </c>
      <c r="CU127" s="2" t="s">
        <v>762</v>
      </c>
    </row>
    <row r="128" ht="12.75" customHeight="1">
      <c r="A128" s="2">
        <v>127.0</v>
      </c>
      <c r="B128" s="2">
        <v>2.0</v>
      </c>
      <c r="C128" s="2" t="s">
        <v>358</v>
      </c>
      <c r="D128" s="2" t="s">
        <v>359</v>
      </c>
      <c r="E128" s="2" t="s">
        <v>473</v>
      </c>
      <c r="F128" s="2" t="s">
        <v>443</v>
      </c>
      <c r="G128" s="2" t="s">
        <v>443</v>
      </c>
      <c r="H128" s="2" t="s">
        <v>362</v>
      </c>
      <c r="I128" s="2" t="s">
        <v>859</v>
      </c>
      <c r="J128" s="2" t="s">
        <v>599</v>
      </c>
      <c r="K128" s="2" t="s">
        <v>366</v>
      </c>
      <c r="L128" s="2" t="s">
        <v>599</v>
      </c>
      <c r="M128" s="2" t="s">
        <v>368</v>
      </c>
      <c r="N128" s="2" t="s">
        <v>441</v>
      </c>
      <c r="O128" s="2" t="s">
        <v>479</v>
      </c>
      <c r="P128" s="2" t="s">
        <v>1026</v>
      </c>
      <c r="Q128" s="2" t="s">
        <v>480</v>
      </c>
      <c r="R128" s="2" t="s">
        <v>480</v>
      </c>
      <c r="S128" s="2" t="s">
        <v>444</v>
      </c>
      <c r="T128" s="2" t="s">
        <v>378</v>
      </c>
      <c r="U128" s="2" t="s">
        <v>378</v>
      </c>
      <c r="V128" s="2" t="s">
        <v>378</v>
      </c>
      <c r="W128" s="2" t="s">
        <v>378</v>
      </c>
      <c r="X128" s="2" t="s">
        <v>444</v>
      </c>
      <c r="Y128" s="2" t="s">
        <v>444</v>
      </c>
      <c r="Z128" s="2" t="s">
        <v>378</v>
      </c>
      <c r="AA128" s="2" t="s">
        <v>382</v>
      </c>
      <c r="AB128" s="2" t="s">
        <v>490</v>
      </c>
      <c r="AC128" s="2" t="s">
        <v>450</v>
      </c>
      <c r="AD128" s="2" t="s">
        <v>451</v>
      </c>
      <c r="AE128" s="2" t="s">
        <v>452</v>
      </c>
      <c r="AF128" s="2" t="s">
        <v>386</v>
      </c>
      <c r="AG128" s="2" t="s">
        <v>387</v>
      </c>
      <c r="AH128" s="2" t="s">
        <v>388</v>
      </c>
      <c r="AI128" s="2" t="s">
        <v>33</v>
      </c>
      <c r="AJ128" s="2" t="s">
        <v>33</v>
      </c>
      <c r="AK128" s="2" t="s">
        <v>33</v>
      </c>
      <c r="AL128" s="2">
        <v>2.0</v>
      </c>
      <c r="AM128" s="2">
        <v>5.0</v>
      </c>
      <c r="AN128" s="2">
        <v>1.0</v>
      </c>
      <c r="AO128" s="2">
        <v>5.0</v>
      </c>
      <c r="AP128" s="2">
        <v>3.0</v>
      </c>
      <c r="AQ128" s="2">
        <v>2.0</v>
      </c>
      <c r="AR128" s="2">
        <v>3.0</v>
      </c>
      <c r="AS128" s="2">
        <v>3.0</v>
      </c>
      <c r="AT128" s="2">
        <v>3.0</v>
      </c>
      <c r="AU128" s="2">
        <v>5.0</v>
      </c>
      <c r="AV128" s="2">
        <v>5.0</v>
      </c>
      <c r="AW128" s="2">
        <v>5.0</v>
      </c>
      <c r="AX128" s="2">
        <v>3.0</v>
      </c>
      <c r="AY128" s="2">
        <v>3.0</v>
      </c>
      <c r="AZ128" s="2">
        <v>5.0</v>
      </c>
      <c r="BA128" s="2">
        <v>1.0</v>
      </c>
      <c r="BB128" s="2">
        <v>1.0</v>
      </c>
      <c r="BC128" s="2">
        <v>2.0</v>
      </c>
      <c r="BD128" s="2">
        <v>3.0</v>
      </c>
      <c r="BE128" s="2">
        <v>3.0</v>
      </c>
      <c r="BF128" s="2">
        <v>1.0</v>
      </c>
      <c r="BG128" s="2">
        <v>1.0</v>
      </c>
      <c r="BH128" s="2">
        <v>2.0</v>
      </c>
      <c r="BI128" s="2">
        <v>1.0</v>
      </c>
      <c r="BJ128" s="2">
        <v>5.0</v>
      </c>
      <c r="BK128" s="2">
        <v>1.0</v>
      </c>
      <c r="BL128" s="2">
        <v>1.0</v>
      </c>
      <c r="BM128" s="2">
        <v>1.0</v>
      </c>
      <c r="BN128" s="2">
        <v>5.0</v>
      </c>
      <c r="BO128" s="2">
        <v>1.0</v>
      </c>
      <c r="BP128" s="2">
        <v>1.0</v>
      </c>
      <c r="BQ128" s="2" t="s">
        <v>389</v>
      </c>
      <c r="BR128" s="2" t="s">
        <v>390</v>
      </c>
      <c r="BS128" s="2" t="s">
        <v>395</v>
      </c>
      <c r="BT128" s="2" t="s">
        <v>396</v>
      </c>
      <c r="BU128" s="2" t="s">
        <v>33</v>
      </c>
      <c r="BV128" s="2" t="s">
        <v>33</v>
      </c>
      <c r="BW128" s="2" t="s">
        <v>33</v>
      </c>
      <c r="BX128" s="2" t="s">
        <v>33</v>
      </c>
      <c r="BY128" s="2" t="s">
        <v>33</v>
      </c>
      <c r="BZ128" s="2" t="s">
        <v>33</v>
      </c>
      <c r="CA128" s="2" t="s">
        <v>33</v>
      </c>
      <c r="CB128" s="2" t="s">
        <v>33</v>
      </c>
      <c r="CC128" s="2" t="s">
        <v>2053</v>
      </c>
      <c r="CD128" s="2">
        <v>3.0</v>
      </c>
      <c r="CE128" s="2" t="s">
        <v>899</v>
      </c>
      <c r="CF128" s="2" t="s">
        <v>998</v>
      </c>
      <c r="CG128" s="2" t="s">
        <v>33</v>
      </c>
      <c r="CH128" s="2" t="s">
        <v>33</v>
      </c>
      <c r="CI128" s="2" t="s">
        <v>33</v>
      </c>
      <c r="CJ128" s="2" t="s">
        <v>33</v>
      </c>
      <c r="CK128" s="2" t="s">
        <v>859</v>
      </c>
      <c r="CL128" s="2" t="s">
        <v>466</v>
      </c>
      <c r="CM128" s="4">
        <v>45731.0</v>
      </c>
      <c r="CN128" s="4">
        <v>45733.0</v>
      </c>
      <c r="CO128" s="2">
        <v>3.0</v>
      </c>
      <c r="CP128" s="2" t="s">
        <v>529</v>
      </c>
      <c r="CQ128" s="2" t="s">
        <v>441</v>
      </c>
      <c r="CR128" s="2" t="s">
        <v>479</v>
      </c>
      <c r="CS128" s="2" t="s">
        <v>529</v>
      </c>
      <c r="CT128" s="2" t="s">
        <v>368</v>
      </c>
      <c r="CU128" s="2" t="s">
        <v>1026</v>
      </c>
    </row>
    <row r="129" ht="12.75" customHeight="1">
      <c r="A129" s="2">
        <v>128.0</v>
      </c>
      <c r="B129" s="2">
        <v>2.0</v>
      </c>
      <c r="C129" s="2" t="s">
        <v>358</v>
      </c>
      <c r="D129" s="2" t="s">
        <v>359</v>
      </c>
      <c r="E129" s="2" t="s">
        <v>473</v>
      </c>
      <c r="F129" s="2" t="s">
        <v>437</v>
      </c>
      <c r="G129" s="2" t="s">
        <v>437</v>
      </c>
      <c r="H129" s="2" t="s">
        <v>362</v>
      </c>
      <c r="I129" s="2" t="s">
        <v>859</v>
      </c>
      <c r="J129" s="2" t="s">
        <v>599</v>
      </c>
      <c r="K129" s="2" t="s">
        <v>366</v>
      </c>
      <c r="L129" s="2" t="s">
        <v>599</v>
      </c>
      <c r="M129" s="2" t="s">
        <v>368</v>
      </c>
      <c r="N129" s="2" t="s">
        <v>441</v>
      </c>
      <c r="O129" s="2" t="s">
        <v>479</v>
      </c>
      <c r="P129" s="2" t="s">
        <v>1026</v>
      </c>
      <c r="Q129" s="2" t="s">
        <v>480</v>
      </c>
      <c r="R129" s="2" t="s">
        <v>480</v>
      </c>
      <c r="S129" s="2" t="s">
        <v>378</v>
      </c>
      <c r="T129" s="2" t="s">
        <v>378</v>
      </c>
      <c r="U129" s="2" t="s">
        <v>378</v>
      </c>
      <c r="V129" s="2" t="s">
        <v>378</v>
      </c>
      <c r="W129" s="2" t="s">
        <v>378</v>
      </c>
      <c r="X129" s="2" t="s">
        <v>444</v>
      </c>
      <c r="Y129" s="2" t="s">
        <v>444</v>
      </c>
      <c r="Z129" s="2" t="s">
        <v>378</v>
      </c>
      <c r="AA129" s="2" t="s">
        <v>382</v>
      </c>
      <c r="AB129" s="2" t="s">
        <v>490</v>
      </c>
      <c r="AC129" s="2" t="s">
        <v>552</v>
      </c>
      <c r="AD129" s="2" t="s">
        <v>452</v>
      </c>
      <c r="AE129" s="2" t="s">
        <v>386</v>
      </c>
      <c r="AF129" s="2" t="s">
        <v>387</v>
      </c>
      <c r="AG129" s="2" t="s">
        <v>388</v>
      </c>
      <c r="AH129" s="2" t="s">
        <v>33</v>
      </c>
      <c r="AI129" s="2" t="s">
        <v>33</v>
      </c>
      <c r="AJ129" s="2" t="s">
        <v>33</v>
      </c>
      <c r="AK129" s="2" t="s">
        <v>33</v>
      </c>
      <c r="AL129" s="2">
        <v>2.0</v>
      </c>
      <c r="AM129" s="2">
        <v>1.0</v>
      </c>
      <c r="AN129" s="2">
        <v>1.0</v>
      </c>
      <c r="AO129" s="2">
        <v>3.0</v>
      </c>
      <c r="AP129" s="2">
        <v>3.0</v>
      </c>
      <c r="AQ129" s="2">
        <v>2.0</v>
      </c>
      <c r="AR129" s="2">
        <v>2.0</v>
      </c>
      <c r="AS129" s="2">
        <v>3.0</v>
      </c>
      <c r="AT129" s="2">
        <v>3.0</v>
      </c>
      <c r="AU129" s="2">
        <v>5.0</v>
      </c>
      <c r="AV129" s="2">
        <v>5.0</v>
      </c>
      <c r="AW129" s="2">
        <v>5.0</v>
      </c>
      <c r="AX129" s="2">
        <v>3.0</v>
      </c>
      <c r="AY129" s="2">
        <v>2.0</v>
      </c>
      <c r="AZ129" s="2">
        <v>5.0</v>
      </c>
      <c r="BA129" s="2">
        <v>1.0</v>
      </c>
      <c r="BB129" s="2">
        <v>1.0</v>
      </c>
      <c r="BC129" s="2">
        <v>1.0</v>
      </c>
      <c r="BD129" s="2">
        <v>1.0</v>
      </c>
      <c r="BE129" s="2">
        <v>3.0</v>
      </c>
      <c r="BF129" s="2">
        <v>1.0</v>
      </c>
      <c r="BG129" s="2">
        <v>1.0</v>
      </c>
      <c r="BH129" s="2">
        <v>1.0</v>
      </c>
      <c r="BI129" s="2">
        <v>1.0</v>
      </c>
      <c r="BJ129" s="2">
        <v>5.0</v>
      </c>
      <c r="BK129" s="2">
        <v>2.0</v>
      </c>
      <c r="BL129" s="2">
        <v>1.0</v>
      </c>
      <c r="BM129" s="2">
        <v>1.0</v>
      </c>
      <c r="BN129" s="2">
        <v>2.0</v>
      </c>
      <c r="BO129" s="2">
        <v>1.0</v>
      </c>
      <c r="BP129" s="2">
        <v>3.0</v>
      </c>
      <c r="BQ129" s="2" t="s">
        <v>389</v>
      </c>
      <c r="BR129" s="2" t="s">
        <v>390</v>
      </c>
      <c r="BS129" s="2" t="s">
        <v>395</v>
      </c>
      <c r="BT129" s="2" t="s">
        <v>396</v>
      </c>
      <c r="BU129" s="2" t="s">
        <v>33</v>
      </c>
      <c r="BV129" s="2" t="s">
        <v>33</v>
      </c>
      <c r="BW129" s="2" t="s">
        <v>33</v>
      </c>
      <c r="BX129" s="2" t="s">
        <v>33</v>
      </c>
      <c r="BY129" s="2" t="s">
        <v>33</v>
      </c>
      <c r="BZ129" s="2" t="s">
        <v>33</v>
      </c>
      <c r="CA129" s="2" t="s">
        <v>33</v>
      </c>
      <c r="CB129" s="2" t="s">
        <v>33</v>
      </c>
      <c r="CC129" s="2" t="s">
        <v>2054</v>
      </c>
      <c r="CD129" s="2">
        <v>3.0</v>
      </c>
      <c r="CE129" s="2" t="s">
        <v>899</v>
      </c>
      <c r="CF129" s="2" t="s">
        <v>998</v>
      </c>
      <c r="CG129" s="2" t="s">
        <v>33</v>
      </c>
      <c r="CH129" s="2" t="s">
        <v>33</v>
      </c>
      <c r="CI129" s="2" t="s">
        <v>33</v>
      </c>
      <c r="CJ129" s="2" t="s">
        <v>33</v>
      </c>
      <c r="CK129" s="2" t="s">
        <v>859</v>
      </c>
      <c r="CL129" s="2" t="s">
        <v>466</v>
      </c>
      <c r="CM129" s="4">
        <v>45731.0</v>
      </c>
      <c r="CN129" s="4">
        <v>45733.0</v>
      </c>
      <c r="CO129" s="2">
        <v>3.0</v>
      </c>
      <c r="CP129" s="2" t="s">
        <v>529</v>
      </c>
      <c r="CQ129" s="2" t="s">
        <v>441</v>
      </c>
      <c r="CR129" s="2" t="s">
        <v>479</v>
      </c>
      <c r="CS129" s="2" t="s">
        <v>529</v>
      </c>
      <c r="CT129" s="2" t="s">
        <v>368</v>
      </c>
      <c r="CU129" s="2" t="s">
        <v>1026</v>
      </c>
    </row>
    <row r="130" ht="12.75" customHeight="1">
      <c r="A130" s="2">
        <v>129.0</v>
      </c>
      <c r="B130" s="2">
        <v>2.0</v>
      </c>
      <c r="C130" s="2" t="s">
        <v>358</v>
      </c>
      <c r="D130" s="2" t="s">
        <v>359</v>
      </c>
      <c r="E130" s="2" t="s">
        <v>360</v>
      </c>
      <c r="F130" s="2" t="s">
        <v>437</v>
      </c>
      <c r="G130" s="2" t="s">
        <v>437</v>
      </c>
      <c r="H130" s="2" t="s">
        <v>474</v>
      </c>
      <c r="I130" s="2" t="s">
        <v>425</v>
      </c>
      <c r="J130" s="2" t="s">
        <v>365</v>
      </c>
      <c r="K130" s="2" t="s">
        <v>366</v>
      </c>
      <c r="L130" s="2" t="s">
        <v>367</v>
      </c>
      <c r="M130" s="2" t="s">
        <v>645</v>
      </c>
      <c r="N130" s="2" t="s">
        <v>441</v>
      </c>
      <c r="O130" s="2" t="s">
        <v>370</v>
      </c>
      <c r="P130" s="2" t="s">
        <v>372</v>
      </c>
      <c r="Q130" s="2" t="s">
        <v>480</v>
      </c>
      <c r="R130" s="2" t="s">
        <v>480</v>
      </c>
      <c r="S130" s="2" t="s">
        <v>378</v>
      </c>
      <c r="T130" s="2" t="s">
        <v>376</v>
      </c>
      <c r="U130" s="2" t="s">
        <v>376</v>
      </c>
      <c r="V130" s="2" t="s">
        <v>376</v>
      </c>
      <c r="W130" s="2" t="s">
        <v>444</v>
      </c>
      <c r="X130" s="2" t="s">
        <v>378</v>
      </c>
      <c r="Y130" s="2" t="s">
        <v>376</v>
      </c>
      <c r="Z130" s="2" t="s">
        <v>444</v>
      </c>
      <c r="AA130" s="2" t="s">
        <v>864</v>
      </c>
      <c r="AB130" s="2" t="s">
        <v>490</v>
      </c>
      <c r="AC130" s="2" t="s">
        <v>450</v>
      </c>
      <c r="AD130" s="2" t="s">
        <v>387</v>
      </c>
      <c r="AE130" s="2" t="s">
        <v>455</v>
      </c>
      <c r="AF130" s="2" t="s">
        <v>33</v>
      </c>
      <c r="AG130" s="2" t="s">
        <v>33</v>
      </c>
      <c r="AH130" s="2" t="s">
        <v>33</v>
      </c>
      <c r="AI130" s="2" t="s">
        <v>33</v>
      </c>
      <c r="AJ130" s="2" t="s">
        <v>33</v>
      </c>
      <c r="AK130" s="2" t="s">
        <v>33</v>
      </c>
      <c r="AL130" s="2">
        <v>4.0</v>
      </c>
      <c r="AM130" s="2">
        <v>3.0</v>
      </c>
      <c r="AN130" s="2">
        <v>1.0</v>
      </c>
      <c r="AO130" s="2">
        <v>1.0</v>
      </c>
      <c r="AP130" s="2">
        <v>2.0</v>
      </c>
      <c r="AQ130" s="2">
        <v>2.0</v>
      </c>
      <c r="AR130" s="2">
        <v>3.0</v>
      </c>
      <c r="AS130" s="2">
        <v>3.0</v>
      </c>
      <c r="AT130" s="2">
        <v>1.0</v>
      </c>
      <c r="AU130" s="2">
        <v>1.0</v>
      </c>
      <c r="AV130" s="2">
        <v>2.0</v>
      </c>
      <c r="AW130" s="2">
        <v>1.0</v>
      </c>
      <c r="AX130" s="2">
        <v>1.0</v>
      </c>
      <c r="AY130" s="2">
        <v>1.0</v>
      </c>
      <c r="AZ130" s="2">
        <v>2.0</v>
      </c>
      <c r="BA130" s="2">
        <v>4.0</v>
      </c>
      <c r="BB130" s="2">
        <v>1.0</v>
      </c>
      <c r="BC130" s="2">
        <v>2.0</v>
      </c>
      <c r="BD130" s="2">
        <v>3.0</v>
      </c>
      <c r="BE130" s="2">
        <v>3.0</v>
      </c>
      <c r="BF130" s="2">
        <v>2.0</v>
      </c>
      <c r="BG130" s="2">
        <v>2.0</v>
      </c>
      <c r="BH130" s="2">
        <v>1.0</v>
      </c>
      <c r="BI130" s="2">
        <v>1.0</v>
      </c>
      <c r="BJ130" s="2">
        <v>1.0</v>
      </c>
      <c r="BK130" s="2">
        <v>1.0</v>
      </c>
      <c r="BL130" s="2">
        <v>1.0</v>
      </c>
      <c r="BM130" s="2">
        <v>1.0</v>
      </c>
      <c r="BN130" s="2">
        <v>3.0</v>
      </c>
      <c r="BO130" s="2">
        <v>1.0</v>
      </c>
      <c r="BP130" s="2">
        <v>2.0</v>
      </c>
      <c r="BQ130" s="2" t="s">
        <v>568</v>
      </c>
      <c r="BR130" s="2" t="s">
        <v>389</v>
      </c>
      <c r="BS130" s="2" t="s">
        <v>390</v>
      </c>
      <c r="BT130" s="2" t="s">
        <v>391</v>
      </c>
      <c r="BU130" s="2" t="s">
        <v>392</v>
      </c>
      <c r="BV130" s="2" t="s">
        <v>393</v>
      </c>
      <c r="BW130" s="2" t="s">
        <v>33</v>
      </c>
      <c r="BX130" s="2" t="s">
        <v>33</v>
      </c>
      <c r="BY130" s="2" t="s">
        <v>33</v>
      </c>
      <c r="BZ130" s="2" t="s">
        <v>33</v>
      </c>
      <c r="CA130" s="2" t="s">
        <v>33</v>
      </c>
      <c r="CB130" s="2" t="s">
        <v>33</v>
      </c>
      <c r="CC130" s="2" t="s">
        <v>2055</v>
      </c>
      <c r="CD130" s="2">
        <v>4.0</v>
      </c>
      <c r="CE130" s="2" t="s">
        <v>1172</v>
      </c>
      <c r="CF130" s="2" t="s">
        <v>1083</v>
      </c>
      <c r="CG130" s="2" t="s">
        <v>1957</v>
      </c>
      <c r="CH130" s="2" t="s">
        <v>33</v>
      </c>
      <c r="CI130" s="2" t="s">
        <v>33</v>
      </c>
      <c r="CJ130" s="2" t="s">
        <v>33</v>
      </c>
      <c r="CK130" s="2" t="s">
        <v>425</v>
      </c>
      <c r="CL130" s="2" t="s">
        <v>367</v>
      </c>
      <c r="CM130" s="4">
        <v>45739.0</v>
      </c>
      <c r="CN130" s="4">
        <v>45744.0</v>
      </c>
      <c r="CO130" s="2">
        <v>6.0</v>
      </c>
      <c r="CP130" s="2" t="s">
        <v>529</v>
      </c>
      <c r="CQ130" s="2" t="s">
        <v>441</v>
      </c>
      <c r="CR130" s="2" t="s">
        <v>370</v>
      </c>
      <c r="CS130" s="2" t="s">
        <v>529</v>
      </c>
      <c r="CT130" s="2" t="s">
        <v>645</v>
      </c>
      <c r="CU130" s="2" t="s">
        <v>372</v>
      </c>
    </row>
    <row r="131" ht="12.75" customHeight="1">
      <c r="A131" s="2">
        <v>130.0</v>
      </c>
      <c r="B131" s="2">
        <v>3.0</v>
      </c>
      <c r="C131" s="2" t="s">
        <v>358</v>
      </c>
      <c r="D131" s="2" t="s">
        <v>359</v>
      </c>
      <c r="E131" s="2" t="s">
        <v>360</v>
      </c>
      <c r="F131" s="2" t="s">
        <v>437</v>
      </c>
      <c r="G131" s="2" t="s">
        <v>437</v>
      </c>
      <c r="H131" s="2" t="s">
        <v>540</v>
      </c>
      <c r="I131" s="2" t="s">
        <v>425</v>
      </c>
      <c r="J131" s="2" t="s">
        <v>365</v>
      </c>
      <c r="K131" s="2" t="s">
        <v>366</v>
      </c>
      <c r="L131" s="2" t="s">
        <v>367</v>
      </c>
      <c r="M131" s="2" t="s">
        <v>645</v>
      </c>
      <c r="N131" s="2" t="s">
        <v>441</v>
      </c>
      <c r="O131" s="2" t="s">
        <v>442</v>
      </c>
      <c r="P131" s="2" t="s">
        <v>372</v>
      </c>
      <c r="Q131" s="2" t="s">
        <v>480</v>
      </c>
      <c r="R131" s="2" t="s">
        <v>480</v>
      </c>
      <c r="S131" s="2" t="s">
        <v>376</v>
      </c>
      <c r="T131" s="2" t="s">
        <v>376</v>
      </c>
      <c r="U131" s="2" t="s">
        <v>378</v>
      </c>
      <c r="V131" s="2" t="s">
        <v>376</v>
      </c>
      <c r="W131" s="2" t="s">
        <v>444</v>
      </c>
      <c r="X131" s="2" t="s">
        <v>376</v>
      </c>
      <c r="Y131" s="2" t="s">
        <v>444</v>
      </c>
      <c r="Z131" s="2" t="s">
        <v>444</v>
      </c>
      <c r="AA131" s="2" t="s">
        <v>382</v>
      </c>
      <c r="AB131" s="2" t="s">
        <v>551</v>
      </c>
      <c r="AC131" s="2" t="s">
        <v>450</v>
      </c>
      <c r="AD131" s="2" t="s">
        <v>451</v>
      </c>
      <c r="AE131" s="2" t="s">
        <v>452</v>
      </c>
      <c r="AF131" s="2" t="s">
        <v>386</v>
      </c>
      <c r="AG131" s="2" t="s">
        <v>387</v>
      </c>
      <c r="AH131" s="2" t="s">
        <v>388</v>
      </c>
      <c r="AI131" s="2" t="s">
        <v>454</v>
      </c>
      <c r="AJ131" s="2" t="s">
        <v>455</v>
      </c>
      <c r="AK131" s="2" t="s">
        <v>33</v>
      </c>
      <c r="AL131" s="2">
        <v>5.0</v>
      </c>
      <c r="AM131" s="2">
        <v>3.0</v>
      </c>
      <c r="AN131" s="2">
        <v>1.0</v>
      </c>
      <c r="AO131" s="2">
        <v>3.0</v>
      </c>
      <c r="AP131" s="2">
        <v>2.0</v>
      </c>
      <c r="AQ131" s="2">
        <v>2.0</v>
      </c>
      <c r="AR131" s="2">
        <v>1.0</v>
      </c>
      <c r="AS131" s="2">
        <v>3.0</v>
      </c>
      <c r="AT131" s="2">
        <v>2.0</v>
      </c>
      <c r="AU131" s="2">
        <v>3.0</v>
      </c>
      <c r="AV131" s="2">
        <v>3.0</v>
      </c>
      <c r="AW131" s="2">
        <v>3.0</v>
      </c>
      <c r="AX131" s="2">
        <v>1.0</v>
      </c>
      <c r="AY131" s="2">
        <v>1.0</v>
      </c>
      <c r="AZ131" s="2">
        <v>1.0</v>
      </c>
      <c r="BA131" s="2">
        <v>2.0</v>
      </c>
      <c r="BB131" s="2">
        <v>1.0</v>
      </c>
      <c r="BC131" s="2">
        <v>2.0</v>
      </c>
      <c r="BD131" s="2">
        <v>2.0</v>
      </c>
      <c r="BE131" s="2">
        <v>5.0</v>
      </c>
      <c r="BF131" s="2">
        <v>2.0</v>
      </c>
      <c r="BG131" s="2">
        <v>1.0</v>
      </c>
      <c r="BH131" s="2">
        <v>1.0</v>
      </c>
      <c r="BI131" s="2">
        <v>1.0</v>
      </c>
      <c r="BJ131" s="2">
        <v>5.0</v>
      </c>
      <c r="BK131" s="2">
        <v>1.0</v>
      </c>
      <c r="BL131" s="2">
        <v>1.0</v>
      </c>
      <c r="BM131" s="2">
        <v>1.0</v>
      </c>
      <c r="BN131" s="2">
        <v>5.0</v>
      </c>
      <c r="BO131" s="2">
        <v>1.0</v>
      </c>
      <c r="BP131" s="2">
        <v>2.0</v>
      </c>
      <c r="BQ131" s="2" t="s">
        <v>568</v>
      </c>
      <c r="BR131" s="2" t="s">
        <v>389</v>
      </c>
      <c r="BS131" s="2" t="s">
        <v>390</v>
      </c>
      <c r="BT131" s="2" t="s">
        <v>391</v>
      </c>
      <c r="BU131" s="2" t="s">
        <v>393</v>
      </c>
      <c r="BV131" s="2" t="s">
        <v>395</v>
      </c>
      <c r="BW131" s="2" t="s">
        <v>396</v>
      </c>
      <c r="BX131" s="2" t="s">
        <v>33</v>
      </c>
      <c r="BY131" s="2" t="s">
        <v>33</v>
      </c>
      <c r="BZ131" s="2" t="s">
        <v>33</v>
      </c>
      <c r="CA131" s="2" t="s">
        <v>33</v>
      </c>
      <c r="CB131" s="2" t="s">
        <v>33</v>
      </c>
      <c r="CC131" s="2" t="s">
        <v>2056</v>
      </c>
      <c r="CD131" s="2">
        <v>3.0</v>
      </c>
      <c r="CE131" s="2" t="s">
        <v>952</v>
      </c>
      <c r="CF131" s="2" t="s">
        <v>2057</v>
      </c>
      <c r="CG131" s="2" t="s">
        <v>33</v>
      </c>
      <c r="CH131" s="2" t="s">
        <v>33</v>
      </c>
      <c r="CI131" s="2" t="s">
        <v>33</v>
      </c>
      <c r="CJ131" s="2" t="s">
        <v>33</v>
      </c>
      <c r="CK131" s="2" t="s">
        <v>425</v>
      </c>
      <c r="CL131" s="2" t="s">
        <v>367</v>
      </c>
      <c r="CM131" s="4">
        <v>45740.0</v>
      </c>
      <c r="CN131" s="4">
        <v>45742.0</v>
      </c>
      <c r="CO131" s="2">
        <v>3.0</v>
      </c>
      <c r="CP131" s="2" t="s">
        <v>529</v>
      </c>
      <c r="CQ131" s="2" t="s">
        <v>441</v>
      </c>
      <c r="CR131" s="2" t="s">
        <v>442</v>
      </c>
      <c r="CS131" s="2" t="s">
        <v>529</v>
      </c>
      <c r="CT131" s="2" t="s">
        <v>645</v>
      </c>
      <c r="CU131" s="2" t="s">
        <v>372</v>
      </c>
    </row>
    <row r="132" ht="12.75" customHeight="1">
      <c r="A132" s="2">
        <v>131.0</v>
      </c>
      <c r="B132" s="2">
        <v>2.0</v>
      </c>
      <c r="C132" s="2" t="s">
        <v>358</v>
      </c>
      <c r="D132" s="2" t="s">
        <v>359</v>
      </c>
      <c r="E132" s="2" t="s">
        <v>473</v>
      </c>
      <c r="F132" s="2" t="s">
        <v>539</v>
      </c>
      <c r="G132" s="2" t="s">
        <v>539</v>
      </c>
      <c r="H132" s="2" t="s">
        <v>362</v>
      </c>
      <c r="I132" s="2" t="s">
        <v>2058</v>
      </c>
      <c r="J132" s="2" t="s">
        <v>365</v>
      </c>
      <c r="K132" s="2" t="s">
        <v>366</v>
      </c>
      <c r="L132" s="2" t="s">
        <v>440</v>
      </c>
      <c r="M132" s="2" t="s">
        <v>368</v>
      </c>
      <c r="N132" s="2" t="s">
        <v>369</v>
      </c>
      <c r="O132" s="2" t="s">
        <v>442</v>
      </c>
      <c r="P132" s="2" t="s">
        <v>372</v>
      </c>
      <c r="Q132" s="2" t="s">
        <v>480</v>
      </c>
      <c r="R132" s="2" t="s">
        <v>1090</v>
      </c>
      <c r="S132" s="2" t="s">
        <v>378</v>
      </c>
      <c r="T132" s="2" t="s">
        <v>378</v>
      </c>
      <c r="U132" s="2" t="s">
        <v>378</v>
      </c>
      <c r="V132" s="2" t="s">
        <v>378</v>
      </c>
      <c r="W132" s="2" t="s">
        <v>376</v>
      </c>
      <c r="X132" s="2" t="s">
        <v>444</v>
      </c>
      <c r="Y132" s="2" t="s">
        <v>376</v>
      </c>
      <c r="Z132" s="2" t="s">
        <v>376</v>
      </c>
      <c r="AA132" s="2" t="s">
        <v>382</v>
      </c>
      <c r="AB132" s="2" t="s">
        <v>551</v>
      </c>
      <c r="AC132" s="2" t="s">
        <v>450</v>
      </c>
      <c r="AD132" s="2" t="s">
        <v>451</v>
      </c>
      <c r="AE132" s="2" t="s">
        <v>387</v>
      </c>
      <c r="AF132" s="2" t="s">
        <v>388</v>
      </c>
      <c r="AG132" s="2" t="s">
        <v>455</v>
      </c>
      <c r="AH132" s="2" t="s">
        <v>33</v>
      </c>
      <c r="AI132" s="2" t="s">
        <v>33</v>
      </c>
      <c r="AJ132" s="2" t="s">
        <v>33</v>
      </c>
      <c r="AK132" s="2" t="s">
        <v>33</v>
      </c>
      <c r="AL132" s="2">
        <v>5.0</v>
      </c>
      <c r="AM132" s="2">
        <v>5.0</v>
      </c>
      <c r="AN132" s="2">
        <v>1.0</v>
      </c>
      <c r="AO132" s="2">
        <v>1.0</v>
      </c>
      <c r="AP132" s="2">
        <v>1.0</v>
      </c>
      <c r="AQ132" s="2">
        <v>1.0</v>
      </c>
      <c r="AR132" s="2">
        <v>1.0</v>
      </c>
      <c r="AS132" s="2">
        <v>2.0</v>
      </c>
      <c r="AT132" s="2">
        <v>2.0</v>
      </c>
      <c r="AU132" s="2">
        <v>1.0</v>
      </c>
      <c r="AV132" s="2">
        <v>5.0</v>
      </c>
      <c r="AW132" s="2">
        <v>5.0</v>
      </c>
      <c r="AX132" s="2">
        <v>5.0</v>
      </c>
      <c r="AY132" s="2">
        <v>1.0</v>
      </c>
      <c r="AZ132" s="2">
        <v>1.0</v>
      </c>
      <c r="BA132" s="2">
        <v>1.0</v>
      </c>
      <c r="BB132" s="2">
        <v>1.0</v>
      </c>
      <c r="BC132" s="2">
        <v>1.0</v>
      </c>
      <c r="BD132" s="2">
        <v>1.0</v>
      </c>
      <c r="BE132" s="2">
        <v>2.0</v>
      </c>
      <c r="BF132" s="2">
        <v>1.0</v>
      </c>
      <c r="BG132" s="2">
        <v>2.0</v>
      </c>
      <c r="BH132" s="2">
        <v>1.0</v>
      </c>
      <c r="BI132" s="2">
        <v>1.0</v>
      </c>
      <c r="BJ132" s="2">
        <v>1.0</v>
      </c>
      <c r="BK132" s="2">
        <v>1.0</v>
      </c>
      <c r="BL132" s="2">
        <v>1.0</v>
      </c>
      <c r="BM132" s="2">
        <v>1.0</v>
      </c>
      <c r="BN132" s="2">
        <v>2.0</v>
      </c>
      <c r="BO132" s="2">
        <v>1.0</v>
      </c>
      <c r="BP132" s="2">
        <v>2.0</v>
      </c>
      <c r="BQ132" s="2" t="s">
        <v>389</v>
      </c>
      <c r="BR132" s="2" t="s">
        <v>390</v>
      </c>
      <c r="BS132" s="2" t="s">
        <v>391</v>
      </c>
      <c r="BT132" s="2" t="s">
        <v>392</v>
      </c>
      <c r="BU132" s="2" t="s">
        <v>393</v>
      </c>
      <c r="BV132" s="2" t="s">
        <v>396</v>
      </c>
      <c r="BW132" s="2" t="s">
        <v>33</v>
      </c>
      <c r="BX132" s="2" t="s">
        <v>33</v>
      </c>
      <c r="BY132" s="2" t="s">
        <v>33</v>
      </c>
      <c r="BZ132" s="2" t="s">
        <v>33</v>
      </c>
      <c r="CA132" s="2" t="s">
        <v>33</v>
      </c>
      <c r="CB132" s="2" t="s">
        <v>33</v>
      </c>
      <c r="CC132" s="2" t="s">
        <v>2059</v>
      </c>
      <c r="CD132" s="2">
        <v>4.0</v>
      </c>
      <c r="CE132" s="2" t="s">
        <v>1172</v>
      </c>
      <c r="CF132" s="2" t="s">
        <v>1083</v>
      </c>
      <c r="CG132" s="2" t="s">
        <v>999</v>
      </c>
      <c r="CH132" s="2" t="s">
        <v>33</v>
      </c>
      <c r="CI132" s="2" t="s">
        <v>33</v>
      </c>
      <c r="CJ132" s="2" t="s">
        <v>33</v>
      </c>
      <c r="CK132" s="2" t="s">
        <v>2060</v>
      </c>
      <c r="CL132" s="2" t="s">
        <v>466</v>
      </c>
      <c r="CM132" s="4">
        <v>45755.0</v>
      </c>
      <c r="CN132" s="4">
        <v>45760.0</v>
      </c>
      <c r="CO132" s="2">
        <v>6.0</v>
      </c>
      <c r="CP132" s="2" t="s">
        <v>529</v>
      </c>
      <c r="CQ132" s="2" t="s">
        <v>369</v>
      </c>
      <c r="CR132" s="2" t="s">
        <v>442</v>
      </c>
      <c r="CS132" s="2" t="s">
        <v>529</v>
      </c>
      <c r="CT132" s="2" t="s">
        <v>368</v>
      </c>
      <c r="CU132" s="2" t="s">
        <v>372</v>
      </c>
    </row>
    <row r="133" ht="12.75" customHeight="1">
      <c r="A133" s="2">
        <v>132.0</v>
      </c>
      <c r="B133" s="2">
        <v>1.0</v>
      </c>
      <c r="C133" s="2" t="s">
        <v>358</v>
      </c>
      <c r="D133" s="2" t="s">
        <v>359</v>
      </c>
      <c r="E133" s="2" t="s">
        <v>473</v>
      </c>
      <c r="F133" s="2" t="s">
        <v>443</v>
      </c>
      <c r="G133" s="2" t="s">
        <v>443</v>
      </c>
      <c r="H133" s="2" t="s">
        <v>540</v>
      </c>
      <c r="I133" s="2" t="s">
        <v>2061</v>
      </c>
      <c r="J133" s="2" t="s">
        <v>599</v>
      </c>
      <c r="K133" s="2" t="s">
        <v>366</v>
      </c>
      <c r="L133" s="2" t="s">
        <v>599</v>
      </c>
      <c r="M133" s="2" t="s">
        <v>368</v>
      </c>
      <c r="N133" s="2" t="s">
        <v>802</v>
      </c>
      <c r="O133" s="2" t="s">
        <v>370</v>
      </c>
      <c r="P133" s="2" t="s">
        <v>762</v>
      </c>
      <c r="Q133" s="2" t="s">
        <v>480</v>
      </c>
      <c r="R133" s="2" t="s">
        <v>480</v>
      </c>
      <c r="S133" s="2" t="s">
        <v>378</v>
      </c>
      <c r="T133" s="2" t="s">
        <v>378</v>
      </c>
      <c r="U133" s="2" t="s">
        <v>378</v>
      </c>
      <c r="V133" s="2" t="s">
        <v>376</v>
      </c>
      <c r="W133" s="2" t="s">
        <v>376</v>
      </c>
      <c r="X133" s="2" t="s">
        <v>444</v>
      </c>
      <c r="Y133" s="2" t="s">
        <v>378</v>
      </c>
      <c r="Z133" s="2" t="s">
        <v>378</v>
      </c>
      <c r="AA133" s="2" t="s">
        <v>986</v>
      </c>
      <c r="AB133" s="2" t="s">
        <v>490</v>
      </c>
      <c r="AC133" s="2" t="s">
        <v>385</v>
      </c>
      <c r="AD133" s="2" t="s">
        <v>386</v>
      </c>
      <c r="AE133" s="2" t="s">
        <v>387</v>
      </c>
      <c r="AF133" s="2" t="s">
        <v>388</v>
      </c>
      <c r="AG133" s="2" t="s">
        <v>782</v>
      </c>
      <c r="AH133" s="2" t="s">
        <v>455</v>
      </c>
      <c r="AI133" s="2" t="s">
        <v>33</v>
      </c>
      <c r="AJ133" s="2" t="s">
        <v>33</v>
      </c>
      <c r="AK133" s="2" t="s">
        <v>33</v>
      </c>
      <c r="AL133" s="2">
        <v>3.0</v>
      </c>
      <c r="AM133" s="2">
        <v>5.0</v>
      </c>
      <c r="AN133" s="2">
        <v>1.0</v>
      </c>
      <c r="AO133" s="2">
        <v>3.0</v>
      </c>
      <c r="AP133" s="2">
        <v>5.0</v>
      </c>
      <c r="AQ133" s="2">
        <v>1.0</v>
      </c>
      <c r="AR133" s="2">
        <v>2.0</v>
      </c>
      <c r="AS133" s="2">
        <v>2.0</v>
      </c>
      <c r="AT133" s="2">
        <v>3.0</v>
      </c>
      <c r="AU133" s="2">
        <v>1.0</v>
      </c>
      <c r="AV133" s="2">
        <v>5.0</v>
      </c>
      <c r="AW133" s="2">
        <v>5.0</v>
      </c>
      <c r="AX133" s="2">
        <v>1.0</v>
      </c>
      <c r="AY133" s="2">
        <v>1.0</v>
      </c>
      <c r="AZ133" s="2">
        <v>5.0</v>
      </c>
      <c r="BA133" s="2">
        <v>3.0</v>
      </c>
      <c r="BB133" s="2">
        <v>1.0</v>
      </c>
      <c r="BC133" s="2">
        <v>1.0</v>
      </c>
      <c r="BD133" s="2">
        <v>3.0</v>
      </c>
      <c r="BE133" s="2">
        <v>4.0</v>
      </c>
      <c r="BF133" s="2">
        <v>1.0</v>
      </c>
      <c r="BG133" s="2">
        <v>2.0</v>
      </c>
      <c r="BH133" s="2">
        <v>1.0</v>
      </c>
      <c r="BI133" s="2">
        <v>1.0</v>
      </c>
      <c r="BJ133" s="2">
        <v>1.0</v>
      </c>
      <c r="BK133" s="2">
        <v>1.0</v>
      </c>
      <c r="BL133" s="2">
        <v>1.0</v>
      </c>
      <c r="BM133" s="2">
        <v>5.0</v>
      </c>
      <c r="BN133" s="2">
        <v>3.0</v>
      </c>
      <c r="BO133" s="2">
        <v>1.0</v>
      </c>
      <c r="BP133" s="2">
        <v>1.0</v>
      </c>
      <c r="BQ133" s="2" t="s">
        <v>389</v>
      </c>
      <c r="BR133" s="2" t="s">
        <v>390</v>
      </c>
      <c r="BS133" s="2" t="s">
        <v>391</v>
      </c>
      <c r="BT133" s="2" t="s">
        <v>392</v>
      </c>
      <c r="BU133" s="2" t="s">
        <v>393</v>
      </c>
      <c r="BV133" s="2" t="s">
        <v>396</v>
      </c>
      <c r="BW133" s="2" t="s">
        <v>33</v>
      </c>
      <c r="BX133" s="2" t="s">
        <v>33</v>
      </c>
      <c r="BY133" s="2" t="s">
        <v>33</v>
      </c>
      <c r="BZ133" s="2" t="s">
        <v>33</v>
      </c>
      <c r="CA133" s="2" t="s">
        <v>33</v>
      </c>
      <c r="CB133" s="2" t="s">
        <v>33</v>
      </c>
      <c r="CC133" s="2" t="s">
        <v>2062</v>
      </c>
      <c r="CD133" s="2">
        <v>4.0</v>
      </c>
      <c r="CE133" s="2" t="s">
        <v>794</v>
      </c>
      <c r="CF133" s="2" t="s">
        <v>899</v>
      </c>
      <c r="CG133" s="2" t="s">
        <v>998</v>
      </c>
      <c r="CH133" s="2" t="s">
        <v>33</v>
      </c>
      <c r="CI133" s="2" t="s">
        <v>33</v>
      </c>
      <c r="CJ133" s="2" t="s">
        <v>33</v>
      </c>
      <c r="CK133" s="2" t="s">
        <v>2061</v>
      </c>
      <c r="CL133" s="2" t="s">
        <v>466</v>
      </c>
      <c r="CM133" s="2" t="s">
        <v>33</v>
      </c>
      <c r="CN133" s="2" t="s">
        <v>33</v>
      </c>
      <c r="CO133" s="2" t="s">
        <v>33</v>
      </c>
      <c r="CP133" s="2" t="s">
        <v>529</v>
      </c>
      <c r="CQ133" s="2" t="s">
        <v>802</v>
      </c>
      <c r="CR133" s="2" t="s">
        <v>370</v>
      </c>
      <c r="CS133" s="2" t="s">
        <v>529</v>
      </c>
      <c r="CT133" s="2" t="s">
        <v>368</v>
      </c>
      <c r="CU133" s="2" t="s">
        <v>762</v>
      </c>
    </row>
    <row r="134" ht="12.75" customHeight="1">
      <c r="A134" s="2">
        <v>133.0</v>
      </c>
      <c r="B134" s="2">
        <v>2.0</v>
      </c>
      <c r="C134" s="2" t="s">
        <v>358</v>
      </c>
      <c r="D134" s="2" t="s">
        <v>359</v>
      </c>
      <c r="E134" s="2" t="s">
        <v>360</v>
      </c>
      <c r="F134" s="2" t="s">
        <v>437</v>
      </c>
      <c r="G134" s="2" t="s">
        <v>437</v>
      </c>
      <c r="H134" s="2" t="s">
        <v>540</v>
      </c>
      <c r="I134" s="2" t="s">
        <v>425</v>
      </c>
      <c r="J134" s="2" t="s">
        <v>365</v>
      </c>
      <c r="K134" s="2" t="s">
        <v>366</v>
      </c>
      <c r="L134" s="2" t="s">
        <v>367</v>
      </c>
      <c r="M134" s="2" t="s">
        <v>645</v>
      </c>
      <c r="N134" s="2" t="s">
        <v>441</v>
      </c>
      <c r="O134" s="2" t="s">
        <v>442</v>
      </c>
      <c r="P134" s="2" t="s">
        <v>372</v>
      </c>
      <c r="Q134" s="2" t="s">
        <v>480</v>
      </c>
      <c r="R134" s="2" t="s">
        <v>480</v>
      </c>
      <c r="S134" s="2" t="s">
        <v>378</v>
      </c>
      <c r="T134" s="2" t="s">
        <v>378</v>
      </c>
      <c r="U134" s="2" t="s">
        <v>376</v>
      </c>
      <c r="V134" s="2" t="s">
        <v>376</v>
      </c>
      <c r="W134" s="2" t="s">
        <v>444</v>
      </c>
      <c r="X134" s="2" t="s">
        <v>378</v>
      </c>
      <c r="Y134" s="2" t="s">
        <v>444</v>
      </c>
      <c r="Z134" s="2" t="s">
        <v>444</v>
      </c>
      <c r="AA134" s="2" t="s">
        <v>382</v>
      </c>
      <c r="AB134" s="2" t="s">
        <v>651</v>
      </c>
      <c r="AC134" s="2" t="s">
        <v>450</v>
      </c>
      <c r="AD134" s="2" t="s">
        <v>452</v>
      </c>
      <c r="AE134" s="2" t="s">
        <v>386</v>
      </c>
      <c r="AF134" s="2" t="s">
        <v>387</v>
      </c>
      <c r="AG134" s="2" t="s">
        <v>388</v>
      </c>
      <c r="AH134" s="2" t="s">
        <v>455</v>
      </c>
      <c r="AI134" s="2" t="s">
        <v>33</v>
      </c>
      <c r="AJ134" s="2" t="s">
        <v>33</v>
      </c>
      <c r="AK134" s="2" t="s">
        <v>33</v>
      </c>
      <c r="AL134" s="2">
        <v>3.0</v>
      </c>
      <c r="AM134" s="2">
        <v>2.0</v>
      </c>
      <c r="AN134" s="2">
        <v>2.0</v>
      </c>
      <c r="AO134" s="2">
        <v>2.0</v>
      </c>
      <c r="AP134" s="2">
        <v>4.0</v>
      </c>
      <c r="AQ134" s="2">
        <v>2.0</v>
      </c>
      <c r="AR134" s="2">
        <v>1.0</v>
      </c>
      <c r="AS134" s="2">
        <v>1.0</v>
      </c>
      <c r="AT134" s="2">
        <v>1.0</v>
      </c>
      <c r="AU134" s="2">
        <v>2.0</v>
      </c>
      <c r="AV134" s="2">
        <v>2.0</v>
      </c>
      <c r="AW134" s="2">
        <v>5.0</v>
      </c>
      <c r="AX134" s="2">
        <v>2.0</v>
      </c>
      <c r="AY134" s="2">
        <v>1.0</v>
      </c>
      <c r="AZ134" s="2">
        <v>1.0</v>
      </c>
      <c r="BA134" s="2">
        <v>2.0</v>
      </c>
      <c r="BB134" s="2">
        <v>1.0</v>
      </c>
      <c r="BC134" s="2">
        <v>2.0</v>
      </c>
      <c r="BD134" s="2">
        <v>3.0</v>
      </c>
      <c r="BE134" s="2">
        <v>5.0</v>
      </c>
      <c r="BF134" s="2">
        <v>2.0</v>
      </c>
      <c r="BG134" s="2">
        <v>2.0</v>
      </c>
      <c r="BH134" s="2">
        <v>1.0</v>
      </c>
      <c r="BI134" s="2">
        <v>2.0</v>
      </c>
      <c r="BJ134" s="2">
        <v>5.0</v>
      </c>
      <c r="BK134" s="2">
        <v>1.0</v>
      </c>
      <c r="BL134" s="2">
        <v>1.0</v>
      </c>
      <c r="BM134" s="2">
        <v>1.0</v>
      </c>
      <c r="BN134" s="2">
        <v>5.0</v>
      </c>
      <c r="BO134" s="2">
        <v>1.0</v>
      </c>
      <c r="BP134" s="2">
        <v>4.0</v>
      </c>
      <c r="BQ134" s="2" t="s">
        <v>389</v>
      </c>
      <c r="BR134" s="2" t="s">
        <v>390</v>
      </c>
      <c r="BS134" s="2" t="s">
        <v>391</v>
      </c>
      <c r="BT134" s="2" t="s">
        <v>392</v>
      </c>
      <c r="BU134" s="2" t="s">
        <v>393</v>
      </c>
      <c r="BV134" s="2" t="s">
        <v>396</v>
      </c>
      <c r="BW134" s="2" t="s">
        <v>33</v>
      </c>
      <c r="BX134" s="2" t="s">
        <v>33</v>
      </c>
      <c r="BY134" s="2" t="s">
        <v>33</v>
      </c>
      <c r="BZ134" s="2" t="s">
        <v>33</v>
      </c>
      <c r="CA134" s="2" t="s">
        <v>33</v>
      </c>
      <c r="CB134" s="2" t="s">
        <v>33</v>
      </c>
      <c r="CC134" s="2" t="s">
        <v>2063</v>
      </c>
      <c r="CD134" s="2">
        <v>4.0</v>
      </c>
      <c r="CE134" s="2" t="s">
        <v>1172</v>
      </c>
      <c r="CF134" s="2" t="s">
        <v>1083</v>
      </c>
      <c r="CG134" s="2" t="s">
        <v>999</v>
      </c>
      <c r="CH134" s="2" t="s">
        <v>33</v>
      </c>
      <c r="CI134" s="2" t="s">
        <v>33</v>
      </c>
      <c r="CJ134" s="2" t="s">
        <v>33</v>
      </c>
      <c r="CK134" s="2" t="s">
        <v>425</v>
      </c>
      <c r="CL134" s="2" t="s">
        <v>367</v>
      </c>
      <c r="CM134" s="4">
        <v>45732.0</v>
      </c>
      <c r="CN134" s="4">
        <v>45735.0</v>
      </c>
      <c r="CO134" s="2">
        <v>4.0</v>
      </c>
      <c r="CP134" s="2" t="s">
        <v>529</v>
      </c>
      <c r="CQ134" s="2" t="s">
        <v>441</v>
      </c>
      <c r="CR134" s="2" t="s">
        <v>442</v>
      </c>
      <c r="CS134" s="2" t="s">
        <v>529</v>
      </c>
      <c r="CT134" s="2" t="s">
        <v>645</v>
      </c>
      <c r="CU134" s="2" t="s">
        <v>372</v>
      </c>
    </row>
    <row r="135" ht="12.75" customHeight="1">
      <c r="A135" s="2">
        <v>134.0</v>
      </c>
      <c r="B135" s="2">
        <v>8.0</v>
      </c>
      <c r="C135" s="2" t="s">
        <v>358</v>
      </c>
      <c r="D135" s="2" t="s">
        <v>639</v>
      </c>
      <c r="E135" s="2" t="s">
        <v>360</v>
      </c>
      <c r="F135" s="2" t="s">
        <v>437</v>
      </c>
      <c r="G135" s="2" t="s">
        <v>437</v>
      </c>
      <c r="H135" s="2" t="s">
        <v>362</v>
      </c>
      <c r="I135" s="2" t="s">
        <v>425</v>
      </c>
      <c r="J135" s="2" t="s">
        <v>365</v>
      </c>
      <c r="K135" s="2" t="s">
        <v>366</v>
      </c>
      <c r="L135" s="2" t="s">
        <v>367</v>
      </c>
      <c r="M135" s="2" t="s">
        <v>368</v>
      </c>
      <c r="N135" s="2" t="s">
        <v>802</v>
      </c>
      <c r="O135" s="2" t="s">
        <v>370</v>
      </c>
      <c r="P135" s="2" t="s">
        <v>372</v>
      </c>
      <c r="Q135" s="2" t="s">
        <v>361</v>
      </c>
      <c r="R135" s="2" t="s">
        <v>361</v>
      </c>
      <c r="S135" s="2" t="s">
        <v>376</v>
      </c>
      <c r="T135" s="2" t="s">
        <v>376</v>
      </c>
      <c r="U135" s="2" t="s">
        <v>376</v>
      </c>
      <c r="V135" s="2" t="s">
        <v>376</v>
      </c>
      <c r="W135" s="2" t="s">
        <v>378</v>
      </c>
      <c r="X135" s="2" t="s">
        <v>378</v>
      </c>
      <c r="Y135" s="2" t="s">
        <v>376</v>
      </c>
      <c r="Z135" s="2" t="s">
        <v>378</v>
      </c>
      <c r="AA135" s="2" t="s">
        <v>382</v>
      </c>
      <c r="AB135" s="2" t="s">
        <v>359</v>
      </c>
      <c r="AC135" s="2" t="s">
        <v>450</v>
      </c>
      <c r="AD135" s="2" t="s">
        <v>451</v>
      </c>
      <c r="AE135" s="2" t="s">
        <v>387</v>
      </c>
      <c r="AF135" s="2" t="s">
        <v>388</v>
      </c>
      <c r="AG135" s="2" t="s">
        <v>1209</v>
      </c>
      <c r="AH135" s="2" t="s">
        <v>455</v>
      </c>
      <c r="AI135" s="2" t="s">
        <v>33</v>
      </c>
      <c r="AJ135" s="2" t="s">
        <v>33</v>
      </c>
      <c r="AK135" s="2" t="s">
        <v>33</v>
      </c>
      <c r="AL135" s="2">
        <v>1.0</v>
      </c>
      <c r="AM135" s="2">
        <v>1.0</v>
      </c>
      <c r="AN135" s="2">
        <v>1.0</v>
      </c>
      <c r="AO135" s="2">
        <v>3.0</v>
      </c>
      <c r="AP135" s="2">
        <v>1.0</v>
      </c>
      <c r="AQ135" s="2">
        <v>1.0</v>
      </c>
      <c r="AR135" s="2">
        <v>3.0</v>
      </c>
      <c r="AS135" s="2">
        <v>4.0</v>
      </c>
      <c r="AT135" s="2">
        <v>5.0</v>
      </c>
      <c r="AU135" s="2">
        <v>1.0</v>
      </c>
      <c r="AV135" s="2">
        <v>1.0</v>
      </c>
      <c r="AW135" s="2">
        <v>1.0</v>
      </c>
      <c r="AX135" s="2">
        <v>1.0</v>
      </c>
      <c r="AY135" s="2">
        <v>5.0</v>
      </c>
      <c r="AZ135" s="2">
        <v>1.0</v>
      </c>
      <c r="BA135" s="2">
        <v>2.0</v>
      </c>
      <c r="BB135" s="2">
        <v>1.0</v>
      </c>
      <c r="BC135" s="2">
        <v>1.0</v>
      </c>
      <c r="BD135" s="2">
        <v>2.0</v>
      </c>
      <c r="BE135" s="2">
        <v>5.0</v>
      </c>
      <c r="BF135" s="2">
        <v>1.0</v>
      </c>
      <c r="BG135" s="2">
        <v>1.0</v>
      </c>
      <c r="BH135" s="2">
        <v>1.0</v>
      </c>
      <c r="BI135" s="2">
        <v>1.0</v>
      </c>
      <c r="BJ135" s="2">
        <v>1.0</v>
      </c>
      <c r="BK135" s="2">
        <v>1.0</v>
      </c>
      <c r="BL135" s="2">
        <v>1.0</v>
      </c>
      <c r="BM135" s="2">
        <v>1.0</v>
      </c>
      <c r="BN135" s="2">
        <v>1.0</v>
      </c>
      <c r="BO135" s="2">
        <v>1.0</v>
      </c>
      <c r="BP135" s="2">
        <v>1.0</v>
      </c>
      <c r="BQ135" s="2" t="s">
        <v>389</v>
      </c>
      <c r="BR135" s="2" t="s">
        <v>390</v>
      </c>
      <c r="BS135" s="2" t="s">
        <v>391</v>
      </c>
      <c r="BT135" s="2" t="s">
        <v>392</v>
      </c>
      <c r="BU135" s="2" t="s">
        <v>393</v>
      </c>
      <c r="BV135" s="2" t="s">
        <v>395</v>
      </c>
      <c r="BW135" s="2" t="s">
        <v>33</v>
      </c>
      <c r="BX135" s="2" t="s">
        <v>33</v>
      </c>
      <c r="BY135" s="2" t="s">
        <v>33</v>
      </c>
      <c r="BZ135" s="2" t="s">
        <v>33</v>
      </c>
      <c r="CA135" s="2" t="s">
        <v>33</v>
      </c>
      <c r="CB135" s="2" t="s">
        <v>33</v>
      </c>
      <c r="CC135" s="2" t="s">
        <v>2064</v>
      </c>
      <c r="CD135" s="2">
        <v>5.0</v>
      </c>
      <c r="CE135" s="2" t="s">
        <v>794</v>
      </c>
      <c r="CF135" s="2" t="s">
        <v>899</v>
      </c>
      <c r="CG135" s="2" t="s">
        <v>998</v>
      </c>
      <c r="CH135" s="2" t="s">
        <v>999</v>
      </c>
      <c r="CI135" s="2" t="s">
        <v>33</v>
      </c>
      <c r="CJ135" s="2" t="s">
        <v>33</v>
      </c>
      <c r="CK135" s="2" t="s">
        <v>425</v>
      </c>
      <c r="CL135" s="2" t="s">
        <v>367</v>
      </c>
      <c r="CM135" s="4">
        <v>45744.0</v>
      </c>
      <c r="CN135" s="4">
        <v>45749.0</v>
      </c>
      <c r="CO135" s="2">
        <v>6.0</v>
      </c>
      <c r="CP135" s="2" t="s">
        <v>434</v>
      </c>
      <c r="CQ135" s="2" t="s">
        <v>802</v>
      </c>
      <c r="CR135" s="2" t="s">
        <v>370</v>
      </c>
      <c r="CS135" s="2" t="s">
        <v>434</v>
      </c>
      <c r="CT135" s="2" t="s">
        <v>368</v>
      </c>
      <c r="CU135" s="2" t="s">
        <v>372</v>
      </c>
    </row>
    <row r="136" ht="12.75" customHeight="1">
      <c r="A136" s="2">
        <v>135.0</v>
      </c>
      <c r="B136" s="2">
        <v>8.0</v>
      </c>
      <c r="C136" s="2" t="s">
        <v>358</v>
      </c>
      <c r="D136" s="2" t="s">
        <v>639</v>
      </c>
      <c r="E136" s="2" t="s">
        <v>360</v>
      </c>
      <c r="F136" s="2" t="s">
        <v>437</v>
      </c>
      <c r="G136" s="2" t="s">
        <v>437</v>
      </c>
      <c r="H136" s="2" t="s">
        <v>362</v>
      </c>
      <c r="I136" s="2" t="s">
        <v>425</v>
      </c>
      <c r="J136" s="2" t="s">
        <v>365</v>
      </c>
      <c r="K136" s="2" t="s">
        <v>366</v>
      </c>
      <c r="L136" s="2" t="s">
        <v>367</v>
      </c>
      <c r="M136" s="2" t="s">
        <v>645</v>
      </c>
      <c r="N136" s="2" t="s">
        <v>369</v>
      </c>
      <c r="O136" s="2" t="s">
        <v>370</v>
      </c>
      <c r="P136" s="2" t="s">
        <v>372</v>
      </c>
      <c r="Q136" s="2" t="s">
        <v>480</v>
      </c>
      <c r="R136" s="2" t="s">
        <v>480</v>
      </c>
      <c r="S136" s="2" t="s">
        <v>376</v>
      </c>
      <c r="T136" s="2" t="s">
        <v>376</v>
      </c>
      <c r="U136" s="2" t="s">
        <v>378</v>
      </c>
      <c r="V136" s="2" t="s">
        <v>444</v>
      </c>
      <c r="W136" s="2" t="s">
        <v>378</v>
      </c>
      <c r="X136" s="2" t="s">
        <v>444</v>
      </c>
      <c r="Y136" s="2" t="s">
        <v>378</v>
      </c>
      <c r="Z136" s="2" t="s">
        <v>378</v>
      </c>
      <c r="AA136" s="2" t="s">
        <v>382</v>
      </c>
      <c r="AB136" s="2" t="s">
        <v>359</v>
      </c>
      <c r="AC136" s="2" t="s">
        <v>552</v>
      </c>
      <c r="AD136" s="2" t="s">
        <v>386</v>
      </c>
      <c r="AE136" s="2" t="s">
        <v>388</v>
      </c>
      <c r="AF136" s="2" t="s">
        <v>454</v>
      </c>
      <c r="AG136" s="2" t="s">
        <v>33</v>
      </c>
      <c r="AH136" s="2" t="s">
        <v>33</v>
      </c>
      <c r="AI136" s="2" t="s">
        <v>33</v>
      </c>
      <c r="AJ136" s="2" t="s">
        <v>33</v>
      </c>
      <c r="AK136" s="2" t="s">
        <v>33</v>
      </c>
      <c r="AL136" s="2">
        <v>2.0</v>
      </c>
      <c r="AM136" s="2">
        <v>3.0</v>
      </c>
      <c r="AN136" s="2">
        <v>1.0</v>
      </c>
      <c r="AO136" s="2">
        <v>3.0</v>
      </c>
      <c r="AP136" s="2">
        <v>1.0</v>
      </c>
      <c r="AQ136" s="2">
        <v>1.0</v>
      </c>
      <c r="AR136" s="2">
        <v>3.0</v>
      </c>
      <c r="AS136" s="2">
        <v>3.0</v>
      </c>
      <c r="AT136" s="2">
        <v>5.0</v>
      </c>
      <c r="AU136" s="2">
        <v>1.0</v>
      </c>
      <c r="AV136" s="2">
        <v>1.0</v>
      </c>
      <c r="AW136" s="2">
        <v>1.0</v>
      </c>
      <c r="AX136" s="2">
        <v>1.0</v>
      </c>
      <c r="AY136" s="2">
        <v>5.0</v>
      </c>
      <c r="AZ136" s="2">
        <v>1.0</v>
      </c>
      <c r="BA136" s="2">
        <v>2.0</v>
      </c>
      <c r="BB136" s="2">
        <v>1.0</v>
      </c>
      <c r="BC136" s="2">
        <v>1.0</v>
      </c>
      <c r="BD136" s="2">
        <v>2.0</v>
      </c>
      <c r="BE136" s="2">
        <v>5.0</v>
      </c>
      <c r="BF136" s="2">
        <v>1.0</v>
      </c>
      <c r="BG136" s="2">
        <v>1.0</v>
      </c>
      <c r="BH136" s="2">
        <v>1.0</v>
      </c>
      <c r="BI136" s="2">
        <v>1.0</v>
      </c>
      <c r="BJ136" s="2">
        <v>1.0</v>
      </c>
      <c r="BK136" s="2">
        <v>1.0</v>
      </c>
      <c r="BL136" s="2">
        <v>1.0</v>
      </c>
      <c r="BM136" s="2">
        <v>1.0</v>
      </c>
      <c r="BN136" s="2">
        <v>3.0</v>
      </c>
      <c r="BO136" s="2">
        <v>1.0</v>
      </c>
      <c r="BP136" s="2">
        <v>1.0</v>
      </c>
      <c r="BQ136" s="2" t="s">
        <v>389</v>
      </c>
      <c r="BR136" s="2" t="s">
        <v>390</v>
      </c>
      <c r="BS136" s="2" t="s">
        <v>391</v>
      </c>
      <c r="BT136" s="2" t="s">
        <v>392</v>
      </c>
      <c r="BU136" s="2" t="s">
        <v>393</v>
      </c>
      <c r="BV136" s="2" t="s">
        <v>395</v>
      </c>
      <c r="BW136" s="2" t="s">
        <v>396</v>
      </c>
      <c r="BX136" s="2" t="s">
        <v>33</v>
      </c>
      <c r="BY136" s="2" t="s">
        <v>33</v>
      </c>
      <c r="BZ136" s="2" t="s">
        <v>33</v>
      </c>
      <c r="CA136" s="2" t="s">
        <v>33</v>
      </c>
      <c r="CB136" s="2" t="s">
        <v>33</v>
      </c>
      <c r="CC136" s="2" t="s">
        <v>2065</v>
      </c>
      <c r="CD136" s="2">
        <v>5.0</v>
      </c>
      <c r="CE136" s="2" t="s">
        <v>794</v>
      </c>
      <c r="CF136" s="2" t="s">
        <v>899</v>
      </c>
      <c r="CG136" s="2" t="s">
        <v>998</v>
      </c>
      <c r="CH136" s="2" t="s">
        <v>999</v>
      </c>
      <c r="CI136" s="2" t="s">
        <v>33</v>
      </c>
      <c r="CJ136" s="2" t="s">
        <v>33</v>
      </c>
      <c r="CK136" s="2" t="s">
        <v>425</v>
      </c>
      <c r="CL136" s="2" t="s">
        <v>367</v>
      </c>
      <c r="CM136" s="2" t="s">
        <v>33</v>
      </c>
      <c r="CN136" s="2" t="s">
        <v>33</v>
      </c>
      <c r="CO136" s="2" t="s">
        <v>33</v>
      </c>
      <c r="CP136" s="2" t="s">
        <v>529</v>
      </c>
      <c r="CQ136" s="2" t="s">
        <v>369</v>
      </c>
      <c r="CR136" s="2" t="s">
        <v>370</v>
      </c>
      <c r="CS136" s="2" t="s">
        <v>529</v>
      </c>
      <c r="CT136" s="2" t="s">
        <v>645</v>
      </c>
      <c r="CU136" s="2" t="s">
        <v>372</v>
      </c>
    </row>
    <row r="137" ht="12.75" customHeight="1">
      <c r="A137" s="2">
        <v>136.0</v>
      </c>
      <c r="B137" s="2">
        <v>8.0</v>
      </c>
      <c r="C137" s="2" t="s">
        <v>358</v>
      </c>
      <c r="D137" s="2" t="s">
        <v>639</v>
      </c>
      <c r="E137" s="2" t="s">
        <v>473</v>
      </c>
      <c r="F137" s="2" t="s">
        <v>539</v>
      </c>
      <c r="G137" s="2" t="s">
        <v>539</v>
      </c>
      <c r="H137" s="2" t="s">
        <v>540</v>
      </c>
      <c r="I137" s="2" t="s">
        <v>859</v>
      </c>
      <c r="J137" s="2" t="s">
        <v>599</v>
      </c>
      <c r="K137" s="2" t="s">
        <v>366</v>
      </c>
      <c r="L137" s="2" t="s">
        <v>599</v>
      </c>
      <c r="M137" s="2" t="s">
        <v>368</v>
      </c>
      <c r="N137" s="2" t="s">
        <v>802</v>
      </c>
      <c r="O137" s="2" t="s">
        <v>442</v>
      </c>
      <c r="P137" s="2" t="s">
        <v>372</v>
      </c>
      <c r="Q137" s="2" t="s">
        <v>361</v>
      </c>
      <c r="R137" s="2" t="s">
        <v>361</v>
      </c>
      <c r="S137" s="2" t="s">
        <v>444</v>
      </c>
      <c r="T137" s="2" t="s">
        <v>378</v>
      </c>
      <c r="U137" s="2" t="s">
        <v>378</v>
      </c>
      <c r="V137" s="2" t="s">
        <v>376</v>
      </c>
      <c r="W137" s="2" t="s">
        <v>444</v>
      </c>
      <c r="X137" s="2" t="s">
        <v>378</v>
      </c>
      <c r="Y137" s="2" t="s">
        <v>444</v>
      </c>
      <c r="Z137" s="2" t="s">
        <v>378</v>
      </c>
      <c r="AA137" s="2" t="s">
        <v>382</v>
      </c>
      <c r="AB137" s="2" t="s">
        <v>490</v>
      </c>
      <c r="AC137" s="2" t="s">
        <v>450</v>
      </c>
      <c r="AD137" s="2" t="s">
        <v>451</v>
      </c>
      <c r="AE137" s="2" t="s">
        <v>452</v>
      </c>
      <c r="AF137" s="2" t="s">
        <v>387</v>
      </c>
      <c r="AG137" s="2" t="s">
        <v>454</v>
      </c>
      <c r="AH137" s="2" t="s">
        <v>33</v>
      </c>
      <c r="AI137" s="2" t="s">
        <v>33</v>
      </c>
      <c r="AJ137" s="2" t="s">
        <v>33</v>
      </c>
      <c r="AK137" s="2" t="s">
        <v>33</v>
      </c>
      <c r="AL137" s="2">
        <v>3.0</v>
      </c>
      <c r="AM137" s="2">
        <v>5.0</v>
      </c>
      <c r="AN137" s="2">
        <v>1.0</v>
      </c>
      <c r="AO137" s="2">
        <v>5.0</v>
      </c>
      <c r="AP137" s="2">
        <v>4.0</v>
      </c>
      <c r="AQ137" s="2">
        <v>1.0</v>
      </c>
      <c r="AR137" s="2">
        <v>4.0</v>
      </c>
      <c r="AS137" s="2">
        <v>4.0</v>
      </c>
      <c r="AT137" s="2">
        <v>4.0</v>
      </c>
      <c r="AU137" s="2">
        <v>1.0</v>
      </c>
      <c r="AV137" s="2">
        <v>4.0</v>
      </c>
      <c r="AW137" s="2">
        <v>5.0</v>
      </c>
      <c r="AX137" s="2">
        <v>2.0</v>
      </c>
      <c r="AY137" s="2">
        <v>4.0</v>
      </c>
      <c r="AZ137" s="2">
        <v>2.0</v>
      </c>
      <c r="BA137" s="2">
        <v>2.0</v>
      </c>
      <c r="BB137" s="2">
        <v>1.0</v>
      </c>
      <c r="BC137" s="2">
        <v>1.0</v>
      </c>
      <c r="BD137" s="2">
        <v>3.0</v>
      </c>
      <c r="BE137" s="2">
        <v>5.0</v>
      </c>
      <c r="BF137" s="2">
        <v>2.0</v>
      </c>
      <c r="BG137" s="2">
        <v>1.0</v>
      </c>
      <c r="BH137" s="2">
        <v>1.0</v>
      </c>
      <c r="BI137" s="2">
        <v>1.0</v>
      </c>
      <c r="BJ137" s="2">
        <v>1.0</v>
      </c>
      <c r="BK137" s="2">
        <v>1.0</v>
      </c>
      <c r="BL137" s="2">
        <v>1.0</v>
      </c>
      <c r="BM137" s="2">
        <v>1.0</v>
      </c>
      <c r="BN137" s="2">
        <v>1.0</v>
      </c>
      <c r="BO137" s="2">
        <v>1.0</v>
      </c>
      <c r="BP137" s="2">
        <v>1.0</v>
      </c>
      <c r="BQ137" s="2" t="s">
        <v>568</v>
      </c>
      <c r="BR137" s="2" t="s">
        <v>389</v>
      </c>
      <c r="BS137" s="2" t="s">
        <v>390</v>
      </c>
      <c r="BT137" s="2" t="s">
        <v>391</v>
      </c>
      <c r="BU137" s="2" t="s">
        <v>392</v>
      </c>
      <c r="BV137" s="2" t="s">
        <v>395</v>
      </c>
      <c r="BW137" s="2" t="s">
        <v>396</v>
      </c>
      <c r="BX137" s="2" t="s">
        <v>573</v>
      </c>
      <c r="BY137" s="2" t="s">
        <v>730</v>
      </c>
      <c r="BZ137" s="2" t="s">
        <v>33</v>
      </c>
      <c r="CA137" s="2" t="s">
        <v>33</v>
      </c>
      <c r="CB137" s="2" t="s">
        <v>33</v>
      </c>
      <c r="CC137" s="2" t="s">
        <v>2066</v>
      </c>
      <c r="CD137" s="2">
        <v>5.0</v>
      </c>
      <c r="CE137" s="2" t="s">
        <v>794</v>
      </c>
      <c r="CF137" s="2" t="s">
        <v>899</v>
      </c>
      <c r="CG137" s="2" t="s">
        <v>999</v>
      </c>
      <c r="CH137" s="2" t="s">
        <v>1000</v>
      </c>
      <c r="CI137" s="2" t="s">
        <v>33</v>
      </c>
      <c r="CJ137" s="2" t="s">
        <v>33</v>
      </c>
      <c r="CK137" s="2" t="s">
        <v>859</v>
      </c>
      <c r="CL137" s="2" t="s">
        <v>466</v>
      </c>
      <c r="CM137" s="2" t="s">
        <v>33</v>
      </c>
      <c r="CN137" s="2" t="s">
        <v>33</v>
      </c>
      <c r="CO137" s="2" t="s">
        <v>33</v>
      </c>
      <c r="CP137" s="2" t="s">
        <v>434</v>
      </c>
      <c r="CQ137" s="2" t="s">
        <v>802</v>
      </c>
      <c r="CR137" s="2" t="s">
        <v>442</v>
      </c>
      <c r="CS137" s="2" t="s">
        <v>434</v>
      </c>
      <c r="CT137" s="2" t="s">
        <v>368</v>
      </c>
      <c r="CU137" s="2" t="s">
        <v>372</v>
      </c>
    </row>
    <row r="138" ht="12.75" customHeight="1">
      <c r="A138" s="2">
        <v>137.0</v>
      </c>
      <c r="B138" s="2">
        <v>1.0</v>
      </c>
      <c r="C138" s="2" t="s">
        <v>358</v>
      </c>
      <c r="D138" s="2" t="s">
        <v>359</v>
      </c>
      <c r="E138" s="2" t="s">
        <v>473</v>
      </c>
      <c r="F138" s="2" t="s">
        <v>437</v>
      </c>
      <c r="G138" s="2" t="s">
        <v>437</v>
      </c>
      <c r="H138" s="2" t="s">
        <v>540</v>
      </c>
      <c r="I138" s="2" t="s">
        <v>1744</v>
      </c>
      <c r="J138" s="2" t="s">
        <v>599</v>
      </c>
      <c r="K138" s="2" t="s">
        <v>366</v>
      </c>
      <c r="L138" s="2" t="s">
        <v>599</v>
      </c>
      <c r="M138" s="2" t="s">
        <v>368</v>
      </c>
      <c r="N138" s="2" t="s">
        <v>441</v>
      </c>
      <c r="O138" s="2" t="s">
        <v>442</v>
      </c>
      <c r="P138" s="2" t="s">
        <v>762</v>
      </c>
      <c r="Q138" s="2" t="s">
        <v>480</v>
      </c>
      <c r="R138" s="2" t="s">
        <v>480</v>
      </c>
      <c r="S138" s="2" t="s">
        <v>378</v>
      </c>
      <c r="T138" s="2" t="s">
        <v>376</v>
      </c>
      <c r="U138" s="2" t="s">
        <v>378</v>
      </c>
      <c r="V138" s="2" t="s">
        <v>378</v>
      </c>
      <c r="W138" s="2" t="s">
        <v>444</v>
      </c>
      <c r="X138" s="2" t="s">
        <v>378</v>
      </c>
      <c r="Y138" s="2" t="s">
        <v>444</v>
      </c>
      <c r="Z138" s="2" t="s">
        <v>378</v>
      </c>
      <c r="AA138" s="2" t="s">
        <v>1031</v>
      </c>
      <c r="AB138" s="2" t="s">
        <v>551</v>
      </c>
      <c r="AC138" s="2" t="s">
        <v>450</v>
      </c>
      <c r="AD138" s="2" t="s">
        <v>451</v>
      </c>
      <c r="AE138" s="2" t="s">
        <v>452</v>
      </c>
      <c r="AF138" s="2" t="s">
        <v>387</v>
      </c>
      <c r="AG138" s="2" t="s">
        <v>388</v>
      </c>
      <c r="AH138" s="2" t="s">
        <v>33</v>
      </c>
      <c r="AI138" s="2" t="s">
        <v>33</v>
      </c>
      <c r="AJ138" s="2" t="s">
        <v>33</v>
      </c>
      <c r="AK138" s="2" t="s">
        <v>33</v>
      </c>
      <c r="AL138" s="2">
        <v>2.0</v>
      </c>
      <c r="AM138" s="2">
        <v>4.0</v>
      </c>
      <c r="AN138" s="2">
        <v>2.0</v>
      </c>
      <c r="AO138" s="2">
        <v>3.0</v>
      </c>
      <c r="AP138" s="2">
        <v>4.0</v>
      </c>
      <c r="AQ138" s="2">
        <v>1.0</v>
      </c>
      <c r="AR138" s="2">
        <v>2.0</v>
      </c>
      <c r="AS138" s="2">
        <v>2.0</v>
      </c>
      <c r="AT138" s="2">
        <v>2.0</v>
      </c>
      <c r="AU138" s="2">
        <v>1.0</v>
      </c>
      <c r="AV138" s="2">
        <v>4.0</v>
      </c>
      <c r="AW138" s="2">
        <v>2.0</v>
      </c>
      <c r="AX138" s="2">
        <v>4.0</v>
      </c>
      <c r="AY138" s="2">
        <v>2.0</v>
      </c>
      <c r="AZ138" s="2">
        <v>4.0</v>
      </c>
      <c r="BA138" s="2">
        <v>4.0</v>
      </c>
      <c r="BB138" s="2">
        <v>1.0</v>
      </c>
      <c r="BC138" s="2">
        <v>3.0</v>
      </c>
      <c r="BD138" s="2">
        <v>3.0</v>
      </c>
      <c r="BE138" s="2">
        <v>3.0</v>
      </c>
      <c r="BF138" s="2">
        <v>1.0</v>
      </c>
      <c r="BG138" s="2">
        <v>1.0</v>
      </c>
      <c r="BH138" s="2">
        <v>1.0</v>
      </c>
      <c r="BI138" s="2">
        <v>1.0</v>
      </c>
      <c r="BJ138" s="2">
        <v>1.0</v>
      </c>
      <c r="BK138" s="2">
        <v>1.0</v>
      </c>
      <c r="BL138" s="2">
        <v>1.0</v>
      </c>
      <c r="BM138" s="2">
        <v>1.0</v>
      </c>
      <c r="BN138" s="2">
        <v>2.0</v>
      </c>
      <c r="BO138" s="2">
        <v>2.0</v>
      </c>
      <c r="BP138" s="2">
        <v>2.0</v>
      </c>
      <c r="BQ138" s="2" t="s">
        <v>389</v>
      </c>
      <c r="BR138" s="2" t="s">
        <v>390</v>
      </c>
      <c r="BS138" s="2" t="s">
        <v>391</v>
      </c>
      <c r="BT138" s="2" t="s">
        <v>393</v>
      </c>
      <c r="BU138" s="2" t="s">
        <v>394</v>
      </c>
      <c r="BV138" s="2" t="s">
        <v>396</v>
      </c>
      <c r="BW138" s="2" t="s">
        <v>730</v>
      </c>
      <c r="BX138" s="2" t="s">
        <v>33</v>
      </c>
      <c r="BY138" s="2" t="s">
        <v>33</v>
      </c>
      <c r="BZ138" s="2" t="s">
        <v>33</v>
      </c>
      <c r="CA138" s="2" t="s">
        <v>33</v>
      </c>
      <c r="CB138" s="2" t="s">
        <v>33</v>
      </c>
      <c r="CC138" s="2" t="s">
        <v>1485</v>
      </c>
      <c r="CD138" s="2">
        <v>5.0</v>
      </c>
      <c r="CE138" s="2" t="s">
        <v>794</v>
      </c>
      <c r="CF138" s="2" t="s">
        <v>952</v>
      </c>
      <c r="CG138" s="2" t="s">
        <v>1083</v>
      </c>
      <c r="CH138" s="2" t="s">
        <v>1957</v>
      </c>
      <c r="CI138" s="2" t="s">
        <v>999</v>
      </c>
      <c r="CJ138" s="2" t="s">
        <v>33</v>
      </c>
      <c r="CK138" s="2" t="s">
        <v>1744</v>
      </c>
      <c r="CL138" s="2" t="s">
        <v>466</v>
      </c>
      <c r="CM138" s="2" t="s">
        <v>33</v>
      </c>
      <c r="CN138" s="2" t="s">
        <v>33</v>
      </c>
      <c r="CO138" s="2" t="s">
        <v>33</v>
      </c>
      <c r="CP138" s="2" t="s">
        <v>529</v>
      </c>
      <c r="CQ138" s="2" t="s">
        <v>441</v>
      </c>
      <c r="CR138" s="2" t="s">
        <v>442</v>
      </c>
      <c r="CS138" s="2" t="s">
        <v>529</v>
      </c>
      <c r="CT138" s="2" t="s">
        <v>368</v>
      </c>
      <c r="CU138" s="2" t="s">
        <v>762</v>
      </c>
    </row>
    <row r="139" ht="12.75" customHeight="1">
      <c r="A139" s="2">
        <v>138.0</v>
      </c>
      <c r="B139" s="2">
        <v>2.0</v>
      </c>
      <c r="C139" s="2" t="s">
        <v>358</v>
      </c>
      <c r="D139" s="2" t="s">
        <v>359</v>
      </c>
      <c r="E139" s="2" t="s">
        <v>473</v>
      </c>
      <c r="F139" s="2" t="s">
        <v>437</v>
      </c>
      <c r="G139" s="2" t="s">
        <v>437</v>
      </c>
      <c r="H139" s="2" t="s">
        <v>362</v>
      </c>
      <c r="I139" s="2" t="s">
        <v>859</v>
      </c>
      <c r="J139" s="2" t="s">
        <v>599</v>
      </c>
      <c r="K139" s="2" t="s">
        <v>366</v>
      </c>
      <c r="L139" s="2" t="s">
        <v>599</v>
      </c>
      <c r="M139" s="2" t="s">
        <v>368</v>
      </c>
      <c r="N139" s="2" t="s">
        <v>802</v>
      </c>
      <c r="O139" s="2" t="s">
        <v>442</v>
      </c>
      <c r="P139" s="2" t="s">
        <v>1026</v>
      </c>
      <c r="Q139" s="2" t="s">
        <v>443</v>
      </c>
      <c r="R139" s="2" t="s">
        <v>443</v>
      </c>
      <c r="S139" s="2" t="s">
        <v>444</v>
      </c>
      <c r="T139" s="2" t="s">
        <v>378</v>
      </c>
      <c r="U139" s="2" t="s">
        <v>378</v>
      </c>
      <c r="V139" s="2" t="s">
        <v>378</v>
      </c>
      <c r="W139" s="2" t="s">
        <v>444</v>
      </c>
      <c r="X139" s="2" t="s">
        <v>444</v>
      </c>
      <c r="Y139" s="2" t="s">
        <v>444</v>
      </c>
      <c r="Z139" s="2" t="s">
        <v>444</v>
      </c>
      <c r="AA139" s="2" t="s">
        <v>1031</v>
      </c>
      <c r="AB139" s="2" t="s">
        <v>551</v>
      </c>
      <c r="AC139" s="2" t="s">
        <v>1094</v>
      </c>
      <c r="AD139" s="2" t="s">
        <v>388</v>
      </c>
      <c r="AE139" s="2" t="s">
        <v>782</v>
      </c>
      <c r="AF139" s="2" t="s">
        <v>454</v>
      </c>
      <c r="AG139" s="2" t="s">
        <v>33</v>
      </c>
      <c r="AH139" s="2" t="s">
        <v>33</v>
      </c>
      <c r="AI139" s="2" t="s">
        <v>33</v>
      </c>
      <c r="AJ139" s="2" t="s">
        <v>33</v>
      </c>
      <c r="AK139" s="2" t="s">
        <v>33</v>
      </c>
      <c r="AL139" s="2">
        <v>1.0</v>
      </c>
      <c r="AM139" s="2">
        <v>3.0</v>
      </c>
      <c r="AN139" s="2">
        <v>2.0</v>
      </c>
      <c r="AO139" s="2">
        <v>2.0</v>
      </c>
      <c r="AP139" s="2">
        <v>3.0</v>
      </c>
      <c r="AQ139" s="2">
        <v>2.0</v>
      </c>
      <c r="AR139" s="2">
        <v>3.0</v>
      </c>
      <c r="AS139" s="2">
        <v>3.0</v>
      </c>
      <c r="AT139" s="2">
        <v>2.0</v>
      </c>
      <c r="AU139" s="2">
        <v>2.0</v>
      </c>
      <c r="AV139" s="2">
        <v>1.0</v>
      </c>
      <c r="AW139" s="2">
        <v>2.0</v>
      </c>
      <c r="AX139" s="2">
        <v>1.0</v>
      </c>
      <c r="AY139" s="2">
        <v>1.0</v>
      </c>
      <c r="AZ139" s="2">
        <v>1.0</v>
      </c>
      <c r="BA139" s="2">
        <v>4.0</v>
      </c>
      <c r="BB139" s="2">
        <v>2.0</v>
      </c>
      <c r="BC139" s="2">
        <v>2.0</v>
      </c>
      <c r="BD139" s="2">
        <v>3.0</v>
      </c>
      <c r="BE139" s="2">
        <v>3.0</v>
      </c>
      <c r="BF139" s="2">
        <v>2.0</v>
      </c>
      <c r="BG139" s="2">
        <v>1.0</v>
      </c>
      <c r="BH139" s="2">
        <v>2.0</v>
      </c>
      <c r="BI139" s="2">
        <v>2.0</v>
      </c>
      <c r="BJ139" s="2">
        <v>1.0</v>
      </c>
      <c r="BK139" s="2">
        <v>1.0</v>
      </c>
      <c r="BL139" s="2">
        <v>1.0</v>
      </c>
      <c r="BM139" s="2">
        <v>2.0</v>
      </c>
      <c r="BN139" s="2">
        <v>4.0</v>
      </c>
      <c r="BO139" s="2">
        <v>2.0</v>
      </c>
      <c r="BP139" s="2">
        <v>2.0</v>
      </c>
      <c r="BQ139" s="2" t="s">
        <v>568</v>
      </c>
      <c r="BR139" s="2" t="s">
        <v>389</v>
      </c>
      <c r="BS139" s="2" t="s">
        <v>390</v>
      </c>
      <c r="BT139" s="2" t="s">
        <v>391</v>
      </c>
      <c r="BU139" s="2" t="s">
        <v>392</v>
      </c>
      <c r="BV139" s="2" t="s">
        <v>393</v>
      </c>
      <c r="BW139" s="2" t="s">
        <v>395</v>
      </c>
      <c r="BX139" s="2" t="s">
        <v>396</v>
      </c>
      <c r="BY139" s="2" t="s">
        <v>33</v>
      </c>
      <c r="BZ139" s="2" t="s">
        <v>33</v>
      </c>
      <c r="CA139" s="2" t="s">
        <v>33</v>
      </c>
      <c r="CB139" s="2" t="s">
        <v>33</v>
      </c>
      <c r="CC139" s="2" t="s">
        <v>2067</v>
      </c>
      <c r="CD139" s="2">
        <v>5.0</v>
      </c>
      <c r="CE139" s="2" t="s">
        <v>794</v>
      </c>
      <c r="CF139" s="2" t="s">
        <v>899</v>
      </c>
      <c r="CG139" s="2" t="s">
        <v>1083</v>
      </c>
      <c r="CH139" s="2" t="s">
        <v>1957</v>
      </c>
      <c r="CI139" s="2" t="s">
        <v>999</v>
      </c>
      <c r="CJ139" s="2" t="s">
        <v>33</v>
      </c>
      <c r="CK139" s="2" t="s">
        <v>859</v>
      </c>
      <c r="CL139" s="2" t="s">
        <v>466</v>
      </c>
      <c r="CM139" s="4">
        <v>45746.0</v>
      </c>
      <c r="CN139" s="4">
        <v>45752.0</v>
      </c>
      <c r="CO139" s="2">
        <v>7.0</v>
      </c>
      <c r="CP139" s="2" t="s">
        <v>434</v>
      </c>
      <c r="CQ139" s="2" t="s">
        <v>802</v>
      </c>
      <c r="CR139" s="2" t="s">
        <v>442</v>
      </c>
      <c r="CS139" s="2" t="s">
        <v>434</v>
      </c>
      <c r="CT139" s="2" t="s">
        <v>368</v>
      </c>
      <c r="CU139" s="2" t="s">
        <v>1026</v>
      </c>
    </row>
    <row r="140" ht="12.75" customHeight="1">
      <c r="A140" s="2">
        <v>139.0</v>
      </c>
      <c r="B140" s="2">
        <v>2.0</v>
      </c>
      <c r="C140" s="2" t="s">
        <v>358</v>
      </c>
      <c r="D140" s="2" t="s">
        <v>359</v>
      </c>
      <c r="E140" s="2" t="s">
        <v>473</v>
      </c>
      <c r="F140" s="2" t="s">
        <v>361</v>
      </c>
      <c r="G140" s="2" t="s">
        <v>361</v>
      </c>
      <c r="H140" s="2" t="s">
        <v>540</v>
      </c>
      <c r="I140" s="2" t="s">
        <v>859</v>
      </c>
      <c r="J140" s="2" t="s">
        <v>599</v>
      </c>
      <c r="K140" s="2" t="s">
        <v>366</v>
      </c>
      <c r="L140" s="2" t="s">
        <v>599</v>
      </c>
      <c r="M140" s="2" t="s">
        <v>368</v>
      </c>
      <c r="N140" s="2" t="s">
        <v>478</v>
      </c>
      <c r="O140" s="2" t="s">
        <v>442</v>
      </c>
      <c r="P140" s="2" t="s">
        <v>762</v>
      </c>
      <c r="Q140" s="2" t="s">
        <v>361</v>
      </c>
      <c r="R140" s="2" t="s">
        <v>361</v>
      </c>
      <c r="S140" s="2" t="s">
        <v>378</v>
      </c>
      <c r="T140" s="2" t="s">
        <v>378</v>
      </c>
      <c r="U140" s="2" t="s">
        <v>378</v>
      </c>
      <c r="V140" s="2" t="s">
        <v>378</v>
      </c>
      <c r="W140" s="2" t="s">
        <v>444</v>
      </c>
      <c r="X140" s="2" t="s">
        <v>444</v>
      </c>
      <c r="Y140" s="2" t="s">
        <v>378</v>
      </c>
      <c r="Z140" s="2" t="s">
        <v>378</v>
      </c>
      <c r="AA140" s="2" t="s">
        <v>986</v>
      </c>
      <c r="AB140" s="2" t="s">
        <v>490</v>
      </c>
      <c r="AC140" s="2" t="s">
        <v>385</v>
      </c>
      <c r="AD140" s="2" t="s">
        <v>33</v>
      </c>
      <c r="AE140" s="2" t="s">
        <v>33</v>
      </c>
      <c r="AF140" s="2" t="s">
        <v>33</v>
      </c>
      <c r="AG140" s="2" t="s">
        <v>33</v>
      </c>
      <c r="AH140" s="2" t="s">
        <v>33</v>
      </c>
      <c r="AI140" s="2" t="s">
        <v>33</v>
      </c>
      <c r="AJ140" s="2" t="s">
        <v>33</v>
      </c>
      <c r="AK140" s="2" t="s">
        <v>33</v>
      </c>
      <c r="AL140" s="2">
        <v>2.0</v>
      </c>
      <c r="AM140" s="2">
        <v>4.0</v>
      </c>
      <c r="AN140" s="2">
        <v>1.0</v>
      </c>
      <c r="AO140" s="2">
        <v>3.0</v>
      </c>
      <c r="AP140" s="2">
        <v>4.0</v>
      </c>
      <c r="AQ140" s="2">
        <v>2.0</v>
      </c>
      <c r="AR140" s="2">
        <v>4.0</v>
      </c>
      <c r="AS140" s="2">
        <v>3.0</v>
      </c>
      <c r="AT140" s="2">
        <v>4.0</v>
      </c>
      <c r="AU140" s="2">
        <v>3.0</v>
      </c>
      <c r="AV140" s="2">
        <v>3.0</v>
      </c>
      <c r="AW140" s="2">
        <v>3.0</v>
      </c>
      <c r="AX140" s="2">
        <v>3.0</v>
      </c>
      <c r="AY140" s="2">
        <v>2.0</v>
      </c>
      <c r="AZ140" s="2">
        <v>3.0</v>
      </c>
      <c r="BA140" s="2">
        <v>3.0</v>
      </c>
      <c r="BB140" s="2">
        <v>1.0</v>
      </c>
      <c r="BC140" s="2">
        <v>3.0</v>
      </c>
      <c r="BD140" s="2">
        <v>2.0</v>
      </c>
      <c r="BE140" s="2">
        <v>5.0</v>
      </c>
      <c r="BF140" s="2">
        <v>1.0</v>
      </c>
      <c r="BG140" s="2">
        <v>1.0</v>
      </c>
      <c r="BH140" s="2">
        <v>1.0</v>
      </c>
      <c r="BI140" s="2">
        <v>1.0</v>
      </c>
      <c r="BJ140" s="2">
        <v>1.0</v>
      </c>
      <c r="BK140" s="2">
        <v>1.0</v>
      </c>
      <c r="BL140" s="2">
        <v>1.0</v>
      </c>
      <c r="BM140" s="2">
        <v>1.0</v>
      </c>
      <c r="BN140" s="2">
        <v>5.0</v>
      </c>
      <c r="BO140" s="2">
        <v>1.0</v>
      </c>
      <c r="BP140" s="2">
        <v>1.0</v>
      </c>
      <c r="BQ140" s="2" t="s">
        <v>568</v>
      </c>
      <c r="BR140" s="2" t="s">
        <v>389</v>
      </c>
      <c r="BS140" s="2" t="s">
        <v>390</v>
      </c>
      <c r="BT140" s="2" t="s">
        <v>33</v>
      </c>
      <c r="BU140" s="2" t="s">
        <v>33</v>
      </c>
      <c r="BV140" s="2" t="s">
        <v>33</v>
      </c>
      <c r="BW140" s="2" t="s">
        <v>33</v>
      </c>
      <c r="BX140" s="2" t="s">
        <v>33</v>
      </c>
      <c r="BY140" s="2" t="s">
        <v>33</v>
      </c>
      <c r="BZ140" s="2" t="s">
        <v>33</v>
      </c>
      <c r="CA140" s="2" t="s">
        <v>33</v>
      </c>
      <c r="CB140" s="2" t="s">
        <v>33</v>
      </c>
      <c r="CC140" s="2" t="s">
        <v>2068</v>
      </c>
      <c r="CD140" s="2">
        <v>5.0</v>
      </c>
      <c r="CE140" s="2" t="s">
        <v>794</v>
      </c>
      <c r="CF140" s="2" t="s">
        <v>1172</v>
      </c>
      <c r="CG140" s="2" t="s">
        <v>899</v>
      </c>
      <c r="CH140" s="2" t="s">
        <v>33</v>
      </c>
      <c r="CI140" s="2" t="s">
        <v>33</v>
      </c>
      <c r="CJ140" s="2" t="s">
        <v>33</v>
      </c>
      <c r="CK140" s="2" t="s">
        <v>859</v>
      </c>
      <c r="CL140" s="2" t="s">
        <v>466</v>
      </c>
      <c r="CM140" s="4">
        <v>45755.0</v>
      </c>
      <c r="CN140" s="4">
        <v>45762.0</v>
      </c>
      <c r="CO140" s="2">
        <v>8.0</v>
      </c>
      <c r="CP140" s="2" t="s">
        <v>434</v>
      </c>
      <c r="CQ140" s="2" t="s">
        <v>478</v>
      </c>
      <c r="CR140" s="2" t="s">
        <v>442</v>
      </c>
      <c r="CS140" s="2" t="s">
        <v>434</v>
      </c>
      <c r="CT140" s="2" t="s">
        <v>368</v>
      </c>
      <c r="CU140" s="2" t="s">
        <v>762</v>
      </c>
    </row>
    <row r="141" ht="12.75" customHeight="1">
      <c r="A141" s="2">
        <v>140.0</v>
      </c>
      <c r="B141" s="2">
        <v>1.0</v>
      </c>
      <c r="C141" s="2" t="s">
        <v>358</v>
      </c>
      <c r="D141" s="2" t="s">
        <v>359</v>
      </c>
      <c r="E141" s="2" t="s">
        <v>473</v>
      </c>
      <c r="F141" s="2" t="s">
        <v>437</v>
      </c>
      <c r="G141" s="2" t="s">
        <v>437</v>
      </c>
      <c r="H141" s="2" t="s">
        <v>540</v>
      </c>
      <c r="I141" s="2" t="s">
        <v>859</v>
      </c>
      <c r="J141" s="2" t="s">
        <v>599</v>
      </c>
      <c r="K141" s="2" t="s">
        <v>366</v>
      </c>
      <c r="L141" s="2" t="s">
        <v>599</v>
      </c>
      <c r="M141" s="2" t="s">
        <v>368</v>
      </c>
      <c r="N141" s="2" t="s">
        <v>441</v>
      </c>
      <c r="O141" s="2" t="s">
        <v>442</v>
      </c>
      <c r="P141" s="2" t="s">
        <v>372</v>
      </c>
      <c r="Q141" s="2" t="s">
        <v>480</v>
      </c>
      <c r="R141" s="2" t="s">
        <v>480</v>
      </c>
      <c r="S141" s="2" t="s">
        <v>378</v>
      </c>
      <c r="T141" s="2" t="s">
        <v>378</v>
      </c>
      <c r="U141" s="2" t="s">
        <v>378</v>
      </c>
      <c r="V141" s="2" t="s">
        <v>378</v>
      </c>
      <c r="W141" s="2" t="s">
        <v>444</v>
      </c>
      <c r="X141" s="2" t="s">
        <v>444</v>
      </c>
      <c r="Y141" s="2" t="s">
        <v>444</v>
      </c>
      <c r="Z141" s="2" t="s">
        <v>444</v>
      </c>
      <c r="AA141" s="2" t="s">
        <v>1031</v>
      </c>
      <c r="AB141" s="2" t="s">
        <v>551</v>
      </c>
      <c r="AC141" s="2" t="s">
        <v>552</v>
      </c>
      <c r="AD141" s="2" t="s">
        <v>387</v>
      </c>
      <c r="AE141" s="2" t="s">
        <v>388</v>
      </c>
      <c r="AF141" s="2" t="s">
        <v>782</v>
      </c>
      <c r="AG141" s="2" t="s">
        <v>455</v>
      </c>
      <c r="AH141" s="2" t="s">
        <v>33</v>
      </c>
      <c r="AI141" s="2" t="s">
        <v>33</v>
      </c>
      <c r="AJ141" s="2" t="s">
        <v>33</v>
      </c>
      <c r="AK141" s="2" t="s">
        <v>33</v>
      </c>
      <c r="AL141" s="2">
        <v>1.0</v>
      </c>
      <c r="AM141" s="2">
        <v>5.0</v>
      </c>
      <c r="AN141" s="2">
        <v>1.0</v>
      </c>
      <c r="AO141" s="2">
        <v>3.0</v>
      </c>
      <c r="AP141" s="2">
        <v>2.0</v>
      </c>
      <c r="AQ141" s="2">
        <v>2.0</v>
      </c>
      <c r="AR141" s="2">
        <v>5.0</v>
      </c>
      <c r="AS141" s="2">
        <v>4.0</v>
      </c>
      <c r="AT141" s="2">
        <v>3.0</v>
      </c>
      <c r="AU141" s="2">
        <v>1.0</v>
      </c>
      <c r="AV141" s="2">
        <v>5.0</v>
      </c>
      <c r="AW141" s="2">
        <v>3.0</v>
      </c>
      <c r="AX141" s="2">
        <v>1.0</v>
      </c>
      <c r="AY141" s="2">
        <v>3.0</v>
      </c>
      <c r="AZ141" s="2">
        <v>1.0</v>
      </c>
      <c r="BA141" s="2">
        <v>5.0</v>
      </c>
      <c r="BB141" s="2">
        <v>5.0</v>
      </c>
      <c r="BC141" s="2">
        <v>1.0</v>
      </c>
      <c r="BD141" s="2">
        <v>1.0</v>
      </c>
      <c r="BE141" s="2">
        <v>5.0</v>
      </c>
      <c r="BF141" s="2">
        <v>1.0</v>
      </c>
      <c r="BG141" s="2">
        <v>2.0</v>
      </c>
      <c r="BH141" s="2">
        <v>1.0</v>
      </c>
      <c r="BI141" s="2">
        <v>1.0</v>
      </c>
      <c r="BJ141" s="2">
        <v>1.0</v>
      </c>
      <c r="BK141" s="2">
        <v>1.0</v>
      </c>
      <c r="BL141" s="2">
        <v>1.0</v>
      </c>
      <c r="BM141" s="2">
        <v>1.0</v>
      </c>
      <c r="BN141" s="2">
        <v>1.0</v>
      </c>
      <c r="BO141" s="2">
        <v>1.0</v>
      </c>
      <c r="BP141" s="2">
        <v>1.0</v>
      </c>
      <c r="BQ141" s="2" t="s">
        <v>568</v>
      </c>
      <c r="BR141" s="2" t="s">
        <v>390</v>
      </c>
      <c r="BS141" s="2" t="s">
        <v>391</v>
      </c>
      <c r="BT141" s="2" t="s">
        <v>393</v>
      </c>
      <c r="BU141" s="2" t="s">
        <v>396</v>
      </c>
      <c r="BV141" s="2" t="s">
        <v>33</v>
      </c>
      <c r="BW141" s="2" t="s">
        <v>33</v>
      </c>
      <c r="BX141" s="2" t="s">
        <v>33</v>
      </c>
      <c r="BY141" s="2" t="s">
        <v>33</v>
      </c>
      <c r="BZ141" s="2" t="s">
        <v>33</v>
      </c>
      <c r="CA141" s="2" t="s">
        <v>33</v>
      </c>
      <c r="CB141" s="2" t="s">
        <v>33</v>
      </c>
      <c r="CC141" s="3" t="s">
        <v>2069</v>
      </c>
      <c r="CD141" s="2">
        <v>5.0</v>
      </c>
      <c r="CE141" s="2" t="s">
        <v>794</v>
      </c>
      <c r="CF141" s="2" t="s">
        <v>952</v>
      </c>
      <c r="CG141" s="2" t="s">
        <v>1083</v>
      </c>
      <c r="CH141" s="2" t="s">
        <v>999</v>
      </c>
      <c r="CI141" s="2" t="s">
        <v>33</v>
      </c>
      <c r="CJ141" s="2" t="s">
        <v>33</v>
      </c>
      <c r="CK141" s="2" t="s">
        <v>859</v>
      </c>
      <c r="CL141" s="2" t="s">
        <v>466</v>
      </c>
      <c r="CM141" s="4">
        <v>45733.0</v>
      </c>
      <c r="CN141" s="4">
        <v>45736.0</v>
      </c>
      <c r="CO141" s="2">
        <v>4.0</v>
      </c>
      <c r="CP141" s="2" t="s">
        <v>529</v>
      </c>
      <c r="CQ141" s="2" t="s">
        <v>441</v>
      </c>
      <c r="CR141" s="2" t="s">
        <v>442</v>
      </c>
      <c r="CS141" s="2" t="s">
        <v>529</v>
      </c>
      <c r="CT141" s="2" t="s">
        <v>368</v>
      </c>
      <c r="CU141" s="2" t="s">
        <v>372</v>
      </c>
    </row>
    <row r="142" ht="12.75" customHeight="1">
      <c r="A142" s="2">
        <v>141.0</v>
      </c>
      <c r="B142" s="2">
        <v>2.0</v>
      </c>
      <c r="C142" s="2" t="s">
        <v>358</v>
      </c>
      <c r="D142" s="2" t="s">
        <v>359</v>
      </c>
      <c r="E142" s="2" t="s">
        <v>473</v>
      </c>
      <c r="F142" s="2" t="s">
        <v>539</v>
      </c>
      <c r="G142" s="2" t="s">
        <v>539</v>
      </c>
      <c r="H142" s="2" t="s">
        <v>362</v>
      </c>
      <c r="I142" s="2" t="s">
        <v>2070</v>
      </c>
      <c r="J142" s="2" t="s">
        <v>33</v>
      </c>
      <c r="K142" s="2" t="s">
        <v>33</v>
      </c>
      <c r="L142" s="2" t="s">
        <v>440</v>
      </c>
      <c r="M142" s="2" t="s">
        <v>368</v>
      </c>
      <c r="N142" s="2" t="s">
        <v>369</v>
      </c>
      <c r="O142" s="2" t="s">
        <v>442</v>
      </c>
      <c r="P142" s="2" t="s">
        <v>372</v>
      </c>
      <c r="Q142" s="2" t="s">
        <v>606</v>
      </c>
      <c r="R142" s="2" t="s">
        <v>1372</v>
      </c>
      <c r="S142" s="2" t="s">
        <v>376</v>
      </c>
      <c r="T142" s="2" t="s">
        <v>378</v>
      </c>
      <c r="U142" s="2" t="s">
        <v>378</v>
      </c>
      <c r="V142" s="2" t="s">
        <v>378</v>
      </c>
      <c r="W142" s="2" t="s">
        <v>376</v>
      </c>
      <c r="X142" s="2" t="s">
        <v>444</v>
      </c>
      <c r="Y142" s="2" t="s">
        <v>378</v>
      </c>
      <c r="Z142" s="2" t="s">
        <v>444</v>
      </c>
      <c r="AA142" s="2" t="s">
        <v>382</v>
      </c>
      <c r="AB142" s="2" t="s">
        <v>551</v>
      </c>
      <c r="AC142" s="2" t="s">
        <v>450</v>
      </c>
      <c r="AD142" s="2" t="s">
        <v>451</v>
      </c>
      <c r="AE142" s="2" t="s">
        <v>452</v>
      </c>
      <c r="AF142" s="2" t="s">
        <v>387</v>
      </c>
      <c r="AG142" s="2" t="s">
        <v>388</v>
      </c>
      <c r="AH142" s="2" t="s">
        <v>455</v>
      </c>
      <c r="AI142" s="2" t="s">
        <v>33</v>
      </c>
      <c r="AJ142" s="2" t="s">
        <v>33</v>
      </c>
      <c r="AK142" s="2" t="s">
        <v>33</v>
      </c>
      <c r="AL142" s="2">
        <v>3.0</v>
      </c>
      <c r="AM142" s="2">
        <v>4.0</v>
      </c>
      <c r="AN142" s="2">
        <v>2.0</v>
      </c>
      <c r="AO142" s="2">
        <v>2.0</v>
      </c>
      <c r="AP142" s="2">
        <v>2.0</v>
      </c>
      <c r="AQ142" s="2">
        <v>2.0</v>
      </c>
      <c r="AR142" s="2">
        <v>1.0</v>
      </c>
      <c r="AS142" s="2">
        <v>1.0</v>
      </c>
      <c r="AT142" s="2">
        <v>2.0</v>
      </c>
      <c r="AU142" s="2">
        <v>1.0</v>
      </c>
      <c r="AV142" s="2">
        <v>4.0</v>
      </c>
      <c r="AW142" s="2">
        <v>4.0</v>
      </c>
      <c r="AX142" s="2">
        <v>4.0</v>
      </c>
      <c r="AY142" s="2">
        <v>4.0</v>
      </c>
      <c r="AZ142" s="2">
        <v>3.0</v>
      </c>
      <c r="BA142" s="2">
        <v>1.0</v>
      </c>
      <c r="BB142" s="2">
        <v>1.0</v>
      </c>
      <c r="BC142" s="2">
        <v>1.0</v>
      </c>
      <c r="BD142" s="2">
        <v>1.0</v>
      </c>
      <c r="BE142" s="2">
        <v>1.0</v>
      </c>
      <c r="BF142" s="2">
        <v>1.0</v>
      </c>
      <c r="BG142" s="2">
        <v>1.0</v>
      </c>
      <c r="BH142" s="2">
        <v>1.0</v>
      </c>
      <c r="BI142" s="2">
        <v>1.0</v>
      </c>
      <c r="BJ142" s="2">
        <v>1.0</v>
      </c>
      <c r="BK142" s="2">
        <v>1.0</v>
      </c>
      <c r="BL142" s="2">
        <v>1.0</v>
      </c>
      <c r="BM142" s="2">
        <v>1.0</v>
      </c>
      <c r="BN142" s="2">
        <v>1.0</v>
      </c>
      <c r="BO142" s="2">
        <v>1.0</v>
      </c>
      <c r="BP142" s="2">
        <v>2.0</v>
      </c>
      <c r="BQ142" s="2" t="s">
        <v>389</v>
      </c>
      <c r="BR142" s="2" t="s">
        <v>390</v>
      </c>
      <c r="BS142" s="2" t="s">
        <v>391</v>
      </c>
      <c r="BT142" s="2" t="s">
        <v>392</v>
      </c>
      <c r="BU142" s="2" t="s">
        <v>393</v>
      </c>
      <c r="BV142" s="2" t="s">
        <v>396</v>
      </c>
      <c r="BW142" s="2" t="s">
        <v>33</v>
      </c>
      <c r="BX142" s="2" t="s">
        <v>33</v>
      </c>
      <c r="BY142" s="2" t="s">
        <v>33</v>
      </c>
      <c r="BZ142" s="2" t="s">
        <v>33</v>
      </c>
      <c r="CA142" s="2" t="s">
        <v>33</v>
      </c>
      <c r="CB142" s="2" t="s">
        <v>33</v>
      </c>
      <c r="CC142" s="2" t="s">
        <v>2071</v>
      </c>
      <c r="CD142" s="2">
        <v>5.0</v>
      </c>
      <c r="CE142" s="2" t="s">
        <v>1172</v>
      </c>
      <c r="CF142" s="2" t="s">
        <v>1083</v>
      </c>
      <c r="CG142" s="2" t="s">
        <v>999</v>
      </c>
      <c r="CH142" s="2" t="s">
        <v>33</v>
      </c>
      <c r="CI142" s="2" t="s">
        <v>33</v>
      </c>
      <c r="CJ142" s="2" t="s">
        <v>33</v>
      </c>
      <c r="CK142" s="2" t="s">
        <v>2060</v>
      </c>
      <c r="CL142" s="2" t="s">
        <v>466</v>
      </c>
      <c r="CM142" s="4">
        <v>45755.0</v>
      </c>
      <c r="CN142" s="4">
        <v>45760.0</v>
      </c>
      <c r="CO142" s="2">
        <v>6.0</v>
      </c>
      <c r="CP142" s="2" t="s">
        <v>434</v>
      </c>
      <c r="CQ142" s="2" t="s">
        <v>369</v>
      </c>
      <c r="CR142" s="2" t="s">
        <v>442</v>
      </c>
      <c r="CS142" s="2" t="s">
        <v>434</v>
      </c>
      <c r="CT142" s="2" t="s">
        <v>368</v>
      </c>
      <c r="CU142" s="2" t="s">
        <v>372</v>
      </c>
    </row>
    <row r="143" ht="12.75" customHeight="1">
      <c r="A143" s="2">
        <v>142.0</v>
      </c>
      <c r="B143" s="2">
        <v>3.0</v>
      </c>
      <c r="C143" s="2" t="s">
        <v>358</v>
      </c>
      <c r="D143" s="2" t="s">
        <v>359</v>
      </c>
      <c r="E143" s="2" t="s">
        <v>473</v>
      </c>
      <c r="F143" s="2" t="s">
        <v>437</v>
      </c>
      <c r="G143" s="2" t="s">
        <v>437</v>
      </c>
      <c r="H143" s="2" t="s">
        <v>362</v>
      </c>
      <c r="I143" s="2" t="s">
        <v>859</v>
      </c>
      <c r="J143" s="2" t="s">
        <v>599</v>
      </c>
      <c r="K143" s="2" t="s">
        <v>366</v>
      </c>
      <c r="L143" s="2" t="s">
        <v>599</v>
      </c>
      <c r="M143" s="2" t="s">
        <v>368</v>
      </c>
      <c r="N143" s="2" t="s">
        <v>1025</v>
      </c>
      <c r="O143" s="2" t="s">
        <v>442</v>
      </c>
      <c r="P143" s="2" t="s">
        <v>372</v>
      </c>
      <c r="Q143" s="2" t="s">
        <v>480</v>
      </c>
      <c r="R143" s="2" t="s">
        <v>480</v>
      </c>
      <c r="S143" s="2" t="s">
        <v>378</v>
      </c>
      <c r="T143" s="2" t="s">
        <v>378</v>
      </c>
      <c r="U143" s="2" t="s">
        <v>378</v>
      </c>
      <c r="V143" s="2" t="s">
        <v>378</v>
      </c>
      <c r="W143" s="2" t="s">
        <v>444</v>
      </c>
      <c r="X143" s="2" t="s">
        <v>444</v>
      </c>
      <c r="Y143" s="2" t="s">
        <v>376</v>
      </c>
      <c r="Z143" s="2" t="s">
        <v>378</v>
      </c>
      <c r="AA143" s="2" t="s">
        <v>986</v>
      </c>
      <c r="AB143" s="2" t="s">
        <v>551</v>
      </c>
      <c r="AC143" s="2" t="s">
        <v>450</v>
      </c>
      <c r="AD143" s="2" t="s">
        <v>451</v>
      </c>
      <c r="AE143" s="2" t="s">
        <v>452</v>
      </c>
      <c r="AF143" s="2" t="s">
        <v>386</v>
      </c>
      <c r="AG143" s="2" t="s">
        <v>387</v>
      </c>
      <c r="AH143" s="2" t="s">
        <v>388</v>
      </c>
      <c r="AI143" s="2" t="s">
        <v>782</v>
      </c>
      <c r="AJ143" s="2" t="s">
        <v>455</v>
      </c>
      <c r="AK143" s="2" t="s">
        <v>33</v>
      </c>
      <c r="AL143" s="2">
        <v>1.0</v>
      </c>
      <c r="AM143" s="2">
        <v>5.0</v>
      </c>
      <c r="AN143" s="2">
        <v>1.0</v>
      </c>
      <c r="AO143" s="2">
        <v>3.0</v>
      </c>
      <c r="AP143" s="2">
        <v>1.0</v>
      </c>
      <c r="AQ143" s="2">
        <v>1.0</v>
      </c>
      <c r="AR143" s="2">
        <v>5.0</v>
      </c>
      <c r="AS143" s="2">
        <v>2.0</v>
      </c>
      <c r="AT143" s="2">
        <v>1.0</v>
      </c>
      <c r="AU143" s="2">
        <v>1.0</v>
      </c>
      <c r="AV143" s="2">
        <v>3.0</v>
      </c>
      <c r="AW143" s="2">
        <v>1.0</v>
      </c>
      <c r="AX143" s="2">
        <v>1.0</v>
      </c>
      <c r="AY143" s="2">
        <v>1.0</v>
      </c>
      <c r="AZ143" s="2">
        <v>1.0</v>
      </c>
      <c r="BA143" s="2">
        <v>5.0</v>
      </c>
      <c r="BB143" s="2">
        <v>1.0</v>
      </c>
      <c r="BC143" s="2">
        <v>1.0</v>
      </c>
      <c r="BD143" s="2">
        <v>1.0</v>
      </c>
      <c r="BE143" s="2">
        <v>5.0</v>
      </c>
      <c r="BF143" s="2">
        <v>3.0</v>
      </c>
      <c r="BG143" s="2">
        <v>1.0</v>
      </c>
      <c r="BH143" s="2">
        <v>1.0</v>
      </c>
      <c r="BI143" s="2">
        <v>1.0</v>
      </c>
      <c r="BJ143" s="2">
        <v>3.0</v>
      </c>
      <c r="BK143" s="2">
        <v>1.0</v>
      </c>
      <c r="BL143" s="2">
        <v>1.0</v>
      </c>
      <c r="BM143" s="2">
        <v>1.0</v>
      </c>
      <c r="BN143" s="2">
        <v>3.0</v>
      </c>
      <c r="BO143" s="2">
        <v>1.0</v>
      </c>
      <c r="BP143" s="2">
        <v>3.0</v>
      </c>
      <c r="BQ143" s="2" t="s">
        <v>390</v>
      </c>
      <c r="BR143" s="2" t="s">
        <v>391</v>
      </c>
      <c r="BS143" s="2" t="s">
        <v>392</v>
      </c>
      <c r="BT143" s="2" t="s">
        <v>393</v>
      </c>
      <c r="BU143" s="2" t="s">
        <v>394</v>
      </c>
      <c r="BV143" s="2" t="s">
        <v>396</v>
      </c>
      <c r="BW143" s="2" t="s">
        <v>730</v>
      </c>
      <c r="BX143" s="2" t="s">
        <v>33</v>
      </c>
      <c r="BY143" s="2" t="s">
        <v>33</v>
      </c>
      <c r="BZ143" s="2" t="s">
        <v>33</v>
      </c>
      <c r="CA143" s="2" t="s">
        <v>33</v>
      </c>
      <c r="CB143" s="2" t="s">
        <v>33</v>
      </c>
      <c r="CC143" s="2" t="s">
        <v>2072</v>
      </c>
      <c r="CD143" s="2">
        <v>4.0</v>
      </c>
      <c r="CE143" s="2" t="s">
        <v>1172</v>
      </c>
      <c r="CF143" s="2" t="s">
        <v>1083</v>
      </c>
      <c r="CG143" s="2" t="s">
        <v>999</v>
      </c>
      <c r="CH143" s="2" t="s">
        <v>33</v>
      </c>
      <c r="CI143" s="2" t="s">
        <v>33</v>
      </c>
      <c r="CJ143" s="2" t="s">
        <v>33</v>
      </c>
      <c r="CK143" s="2" t="s">
        <v>859</v>
      </c>
      <c r="CL143" s="2" t="s">
        <v>466</v>
      </c>
      <c r="CM143" s="4">
        <v>45764.0</v>
      </c>
      <c r="CN143" s="4">
        <v>45767.0</v>
      </c>
      <c r="CO143" s="2">
        <v>4.0</v>
      </c>
      <c r="CP143" s="2" t="s">
        <v>529</v>
      </c>
      <c r="CQ143" s="2" t="s">
        <v>1025</v>
      </c>
      <c r="CR143" s="2" t="s">
        <v>442</v>
      </c>
      <c r="CS143" s="2" t="s">
        <v>529</v>
      </c>
      <c r="CT143" s="2" t="s">
        <v>368</v>
      </c>
      <c r="CU143" s="2" t="s">
        <v>372</v>
      </c>
    </row>
    <row r="144" ht="12.75" customHeight="1">
      <c r="A144" s="2">
        <v>143.0</v>
      </c>
      <c r="B144" s="2">
        <v>4.0</v>
      </c>
      <c r="C144" s="2" t="s">
        <v>2012</v>
      </c>
      <c r="D144" s="2" t="s">
        <v>359</v>
      </c>
      <c r="E144" s="2" t="s">
        <v>360</v>
      </c>
      <c r="F144" s="2" t="s">
        <v>539</v>
      </c>
      <c r="G144" s="2" t="s">
        <v>539</v>
      </c>
      <c r="H144" s="2" t="s">
        <v>362</v>
      </c>
      <c r="I144" s="2" t="s">
        <v>425</v>
      </c>
      <c r="J144" s="2" t="s">
        <v>365</v>
      </c>
      <c r="K144" s="2" t="s">
        <v>366</v>
      </c>
      <c r="L144" s="2" t="s">
        <v>367</v>
      </c>
      <c r="M144" s="2" t="s">
        <v>368</v>
      </c>
      <c r="N144" s="2" t="s">
        <v>802</v>
      </c>
      <c r="O144" s="2" t="s">
        <v>442</v>
      </c>
      <c r="P144" s="2" t="s">
        <v>372</v>
      </c>
      <c r="Q144" s="2" t="s">
        <v>606</v>
      </c>
      <c r="R144" s="2" t="s">
        <v>2073</v>
      </c>
      <c r="S144" s="2" t="s">
        <v>444</v>
      </c>
      <c r="T144" s="2" t="s">
        <v>376</v>
      </c>
      <c r="U144" s="2" t="s">
        <v>378</v>
      </c>
      <c r="V144" s="2" t="s">
        <v>376</v>
      </c>
      <c r="W144" s="2" t="s">
        <v>376</v>
      </c>
      <c r="X144" s="2" t="s">
        <v>378</v>
      </c>
      <c r="Y144" s="2" t="s">
        <v>444</v>
      </c>
      <c r="Z144" s="2" t="s">
        <v>444</v>
      </c>
      <c r="AA144" s="2" t="s">
        <v>382</v>
      </c>
      <c r="AB144" s="2" t="s">
        <v>490</v>
      </c>
      <c r="AC144" s="2" t="s">
        <v>1141</v>
      </c>
      <c r="AD144" s="2" t="s">
        <v>387</v>
      </c>
      <c r="AE144" s="2" t="s">
        <v>388</v>
      </c>
      <c r="AF144" s="2" t="s">
        <v>33</v>
      </c>
      <c r="AG144" s="2" t="s">
        <v>33</v>
      </c>
      <c r="AH144" s="2" t="s">
        <v>33</v>
      </c>
      <c r="AI144" s="2" t="s">
        <v>33</v>
      </c>
      <c r="AJ144" s="2" t="s">
        <v>33</v>
      </c>
      <c r="AK144" s="2" t="s">
        <v>33</v>
      </c>
      <c r="AL144" s="2">
        <v>5.0</v>
      </c>
      <c r="AM144" s="2">
        <v>5.0</v>
      </c>
      <c r="AN144" s="2">
        <v>3.0</v>
      </c>
      <c r="AO144" s="2">
        <v>2.0</v>
      </c>
      <c r="AP144" s="2">
        <v>2.0</v>
      </c>
      <c r="AQ144" s="2">
        <v>2.0</v>
      </c>
      <c r="AR144" s="2">
        <v>3.0</v>
      </c>
      <c r="AS144" s="2">
        <v>4.0</v>
      </c>
      <c r="AT144" s="2">
        <v>2.0</v>
      </c>
      <c r="AU144" s="2">
        <v>2.0</v>
      </c>
      <c r="AV144" s="2">
        <v>5.0</v>
      </c>
      <c r="AW144" s="2">
        <v>5.0</v>
      </c>
      <c r="AX144" s="2">
        <v>2.0</v>
      </c>
      <c r="AY144" s="2">
        <v>5.0</v>
      </c>
      <c r="AZ144" s="2">
        <v>2.0</v>
      </c>
      <c r="BA144" s="2">
        <v>4.0</v>
      </c>
      <c r="BB144" s="2">
        <v>2.0</v>
      </c>
      <c r="BC144" s="2">
        <v>2.0</v>
      </c>
      <c r="BD144" s="2">
        <v>3.0</v>
      </c>
      <c r="BE144" s="2">
        <v>5.0</v>
      </c>
      <c r="BF144" s="2">
        <v>1.0</v>
      </c>
      <c r="BG144" s="2">
        <v>1.0</v>
      </c>
      <c r="BH144" s="2">
        <v>1.0</v>
      </c>
      <c r="BI144" s="2">
        <v>5.0</v>
      </c>
      <c r="BJ144" s="2">
        <v>1.0</v>
      </c>
      <c r="BK144" s="2">
        <v>2.0</v>
      </c>
      <c r="BL144" s="2">
        <v>1.0</v>
      </c>
      <c r="BM144" s="2">
        <v>1.0</v>
      </c>
      <c r="BN144" s="2">
        <v>3.0</v>
      </c>
      <c r="BO144" s="2">
        <v>1.0</v>
      </c>
      <c r="BP144" s="2">
        <v>3.0</v>
      </c>
      <c r="BQ144" s="2" t="s">
        <v>568</v>
      </c>
      <c r="BR144" s="2" t="s">
        <v>389</v>
      </c>
      <c r="BS144" s="2" t="s">
        <v>390</v>
      </c>
      <c r="BT144" s="2" t="s">
        <v>391</v>
      </c>
      <c r="BU144" s="2" t="s">
        <v>392</v>
      </c>
      <c r="BV144" s="2" t="s">
        <v>393</v>
      </c>
      <c r="BW144" s="2" t="s">
        <v>395</v>
      </c>
      <c r="BX144" s="2" t="s">
        <v>396</v>
      </c>
      <c r="BY144" s="2" t="s">
        <v>573</v>
      </c>
      <c r="BZ144" s="2" t="s">
        <v>33</v>
      </c>
      <c r="CA144" s="2" t="s">
        <v>33</v>
      </c>
      <c r="CB144" s="2" t="s">
        <v>33</v>
      </c>
      <c r="CC144" s="2" t="s">
        <v>2074</v>
      </c>
      <c r="CD144" s="2">
        <v>1.0</v>
      </c>
      <c r="CE144" s="2" t="s">
        <v>2075</v>
      </c>
      <c r="CF144" s="2" t="s">
        <v>33</v>
      </c>
      <c r="CG144" s="2" t="s">
        <v>33</v>
      </c>
      <c r="CH144" s="2" t="s">
        <v>33</v>
      </c>
      <c r="CI144" s="2" t="s">
        <v>33</v>
      </c>
      <c r="CJ144" s="2" t="s">
        <v>33</v>
      </c>
      <c r="CK144" s="2" t="s">
        <v>425</v>
      </c>
      <c r="CL144" s="2" t="s">
        <v>367</v>
      </c>
      <c r="CM144" s="4">
        <v>45759.0</v>
      </c>
      <c r="CN144" s="4">
        <v>45759.0</v>
      </c>
      <c r="CO144" s="2">
        <v>1.0</v>
      </c>
      <c r="CP144" s="2" t="s">
        <v>434</v>
      </c>
      <c r="CQ144" s="2" t="s">
        <v>802</v>
      </c>
      <c r="CR144" s="2" t="s">
        <v>442</v>
      </c>
      <c r="CS144" s="2" t="s">
        <v>434</v>
      </c>
      <c r="CT144" s="2" t="s">
        <v>368</v>
      </c>
      <c r="CU144" s="2" t="s">
        <v>372</v>
      </c>
    </row>
    <row r="145" ht="12.75" customHeight="1">
      <c r="A145" s="2">
        <v>144.0</v>
      </c>
      <c r="B145" s="2">
        <v>2.0</v>
      </c>
      <c r="C145" s="2" t="s">
        <v>358</v>
      </c>
      <c r="D145" s="2" t="s">
        <v>359</v>
      </c>
      <c r="E145" s="2" t="s">
        <v>473</v>
      </c>
      <c r="F145" s="2" t="s">
        <v>361</v>
      </c>
      <c r="G145" s="2" t="s">
        <v>361</v>
      </c>
      <c r="H145" s="2" t="s">
        <v>540</v>
      </c>
      <c r="I145" s="2" t="s">
        <v>859</v>
      </c>
      <c r="J145" s="2" t="s">
        <v>599</v>
      </c>
      <c r="K145" s="2" t="s">
        <v>366</v>
      </c>
      <c r="L145" s="2" t="s">
        <v>599</v>
      </c>
      <c r="M145" s="2" t="s">
        <v>368</v>
      </c>
      <c r="N145" s="2" t="s">
        <v>478</v>
      </c>
      <c r="O145" s="2" t="s">
        <v>442</v>
      </c>
      <c r="P145" s="2" t="s">
        <v>762</v>
      </c>
      <c r="Q145" s="2" t="s">
        <v>361</v>
      </c>
      <c r="R145" s="2" t="s">
        <v>361</v>
      </c>
      <c r="S145" s="2" t="s">
        <v>378</v>
      </c>
      <c r="T145" s="2" t="s">
        <v>378</v>
      </c>
      <c r="U145" s="2" t="s">
        <v>378</v>
      </c>
      <c r="V145" s="2" t="s">
        <v>378</v>
      </c>
      <c r="W145" s="2" t="s">
        <v>444</v>
      </c>
      <c r="X145" s="2" t="s">
        <v>444</v>
      </c>
      <c r="Y145" s="2" t="s">
        <v>378</v>
      </c>
      <c r="Z145" s="2" t="s">
        <v>378</v>
      </c>
      <c r="AA145" s="2" t="s">
        <v>986</v>
      </c>
      <c r="AB145" s="2" t="s">
        <v>490</v>
      </c>
      <c r="AC145" s="2" t="s">
        <v>385</v>
      </c>
      <c r="AD145" s="2" t="s">
        <v>386</v>
      </c>
      <c r="AE145" s="2" t="s">
        <v>387</v>
      </c>
      <c r="AF145" s="2" t="s">
        <v>388</v>
      </c>
      <c r="AG145" s="2" t="s">
        <v>782</v>
      </c>
      <c r="AH145" s="2" t="s">
        <v>33</v>
      </c>
      <c r="AI145" s="2" t="s">
        <v>33</v>
      </c>
      <c r="AJ145" s="2" t="s">
        <v>33</v>
      </c>
      <c r="AK145" s="2" t="s">
        <v>33</v>
      </c>
      <c r="AL145" s="2">
        <v>2.0</v>
      </c>
      <c r="AM145" s="2">
        <v>5.0</v>
      </c>
      <c r="AN145" s="2">
        <v>2.0</v>
      </c>
      <c r="AO145" s="2">
        <v>3.0</v>
      </c>
      <c r="AP145" s="2">
        <v>3.0</v>
      </c>
      <c r="AQ145" s="2">
        <v>2.0</v>
      </c>
      <c r="AR145" s="2">
        <v>3.0</v>
      </c>
      <c r="AS145" s="2">
        <v>3.0</v>
      </c>
      <c r="AT145" s="2">
        <v>4.0</v>
      </c>
      <c r="AU145" s="2">
        <v>2.0</v>
      </c>
      <c r="AV145" s="2">
        <v>4.0</v>
      </c>
      <c r="AW145" s="2">
        <v>4.0</v>
      </c>
      <c r="AX145" s="2">
        <v>3.0</v>
      </c>
      <c r="AY145" s="2">
        <v>2.0</v>
      </c>
      <c r="AZ145" s="2">
        <v>2.0</v>
      </c>
      <c r="BA145" s="2">
        <v>2.0</v>
      </c>
      <c r="BB145" s="2">
        <v>1.0</v>
      </c>
      <c r="BC145" s="2">
        <v>2.0</v>
      </c>
      <c r="BD145" s="2">
        <v>3.0</v>
      </c>
      <c r="BE145" s="2">
        <v>5.0</v>
      </c>
      <c r="BF145" s="2">
        <v>1.0</v>
      </c>
      <c r="BG145" s="2">
        <v>1.0</v>
      </c>
      <c r="BH145" s="2">
        <v>1.0</v>
      </c>
      <c r="BI145" s="2">
        <v>1.0</v>
      </c>
      <c r="BJ145" s="2">
        <v>5.0</v>
      </c>
      <c r="BK145" s="2">
        <v>1.0</v>
      </c>
      <c r="BL145" s="2">
        <v>1.0</v>
      </c>
      <c r="BM145" s="2">
        <v>1.0</v>
      </c>
      <c r="BN145" s="2">
        <v>5.0</v>
      </c>
      <c r="BO145" s="2">
        <v>1.0</v>
      </c>
      <c r="BP145" s="2">
        <v>1.0</v>
      </c>
      <c r="BQ145" s="2" t="s">
        <v>389</v>
      </c>
      <c r="BR145" s="2" t="s">
        <v>390</v>
      </c>
      <c r="BS145" s="2" t="s">
        <v>391</v>
      </c>
      <c r="BT145" s="2" t="s">
        <v>392</v>
      </c>
      <c r="BU145" s="2" t="s">
        <v>393</v>
      </c>
      <c r="BV145" s="2" t="s">
        <v>394</v>
      </c>
      <c r="BW145" s="2" t="s">
        <v>395</v>
      </c>
      <c r="BX145" s="2" t="s">
        <v>396</v>
      </c>
      <c r="BY145" s="2" t="s">
        <v>33</v>
      </c>
      <c r="BZ145" s="2" t="s">
        <v>33</v>
      </c>
      <c r="CA145" s="2" t="s">
        <v>33</v>
      </c>
      <c r="CB145" s="2" t="s">
        <v>33</v>
      </c>
      <c r="CC145" s="2" t="s">
        <v>2076</v>
      </c>
      <c r="CD145" s="2">
        <v>6.0</v>
      </c>
      <c r="CE145" s="2" t="s">
        <v>794</v>
      </c>
      <c r="CF145" s="2" t="s">
        <v>1172</v>
      </c>
      <c r="CG145" s="2" t="s">
        <v>952</v>
      </c>
      <c r="CH145" s="2" t="s">
        <v>1083</v>
      </c>
      <c r="CI145" s="2" t="s">
        <v>1019</v>
      </c>
      <c r="CJ145" s="2" t="s">
        <v>999</v>
      </c>
      <c r="CK145" s="2" t="s">
        <v>859</v>
      </c>
      <c r="CL145" s="2" t="s">
        <v>466</v>
      </c>
      <c r="CM145" s="4">
        <v>45755.0</v>
      </c>
      <c r="CN145" s="4">
        <v>45762.0</v>
      </c>
      <c r="CO145" s="2">
        <v>8.0</v>
      </c>
      <c r="CP145" s="2" t="s">
        <v>434</v>
      </c>
      <c r="CQ145" s="2" t="s">
        <v>478</v>
      </c>
      <c r="CR145" s="2" t="s">
        <v>442</v>
      </c>
      <c r="CS145" s="2" t="s">
        <v>434</v>
      </c>
      <c r="CT145" s="2" t="s">
        <v>368</v>
      </c>
      <c r="CU145" s="2" t="s">
        <v>762</v>
      </c>
    </row>
    <row r="146" ht="12.75" customHeight="1">
      <c r="A146" s="2">
        <v>145.0</v>
      </c>
      <c r="B146" s="2">
        <v>7.0</v>
      </c>
      <c r="C146" s="2" t="s">
        <v>358</v>
      </c>
      <c r="D146" s="2" t="s">
        <v>359</v>
      </c>
      <c r="E146" s="2" t="s">
        <v>473</v>
      </c>
      <c r="F146" s="2" t="s">
        <v>437</v>
      </c>
      <c r="G146" s="2" t="s">
        <v>437</v>
      </c>
      <c r="H146" s="2" t="s">
        <v>362</v>
      </c>
      <c r="I146" s="2" t="s">
        <v>859</v>
      </c>
      <c r="J146" s="2" t="s">
        <v>599</v>
      </c>
      <c r="K146" s="2" t="s">
        <v>366</v>
      </c>
      <c r="L146" s="2" t="s">
        <v>599</v>
      </c>
      <c r="M146" s="2" t="s">
        <v>368</v>
      </c>
      <c r="N146" s="2" t="s">
        <v>369</v>
      </c>
      <c r="O146" s="2" t="s">
        <v>442</v>
      </c>
      <c r="P146" s="2" t="s">
        <v>372</v>
      </c>
      <c r="Q146" s="2" t="s">
        <v>480</v>
      </c>
      <c r="R146" s="2" t="s">
        <v>480</v>
      </c>
      <c r="S146" s="2" t="s">
        <v>444</v>
      </c>
      <c r="T146" s="2" t="s">
        <v>376</v>
      </c>
      <c r="U146" s="2" t="s">
        <v>376</v>
      </c>
      <c r="V146" s="2" t="s">
        <v>376</v>
      </c>
      <c r="W146" s="2" t="s">
        <v>444</v>
      </c>
      <c r="X146" s="2" t="s">
        <v>444</v>
      </c>
      <c r="Y146" s="2" t="s">
        <v>444</v>
      </c>
      <c r="Z146" s="2" t="s">
        <v>376</v>
      </c>
      <c r="AA146" s="2" t="s">
        <v>382</v>
      </c>
      <c r="AB146" s="2" t="s">
        <v>551</v>
      </c>
      <c r="AC146" s="2" t="s">
        <v>450</v>
      </c>
      <c r="AD146" s="2" t="s">
        <v>451</v>
      </c>
      <c r="AE146" s="2" t="s">
        <v>452</v>
      </c>
      <c r="AF146" s="2" t="s">
        <v>386</v>
      </c>
      <c r="AG146" s="2" t="s">
        <v>387</v>
      </c>
      <c r="AH146" s="2" t="s">
        <v>388</v>
      </c>
      <c r="AI146" s="2" t="s">
        <v>454</v>
      </c>
      <c r="AJ146" s="2" t="s">
        <v>454</v>
      </c>
      <c r="AK146" s="2" t="s">
        <v>33</v>
      </c>
      <c r="AL146" s="2">
        <v>2.0</v>
      </c>
      <c r="AM146" s="2">
        <v>5.0</v>
      </c>
      <c r="AN146" s="2">
        <v>2.0</v>
      </c>
      <c r="AO146" s="2">
        <v>3.0</v>
      </c>
      <c r="AP146" s="2">
        <v>3.0</v>
      </c>
      <c r="AQ146" s="2">
        <v>3.0</v>
      </c>
      <c r="AR146" s="2">
        <v>2.0</v>
      </c>
      <c r="AS146" s="2">
        <v>4.0</v>
      </c>
      <c r="AT146" s="2">
        <v>2.0</v>
      </c>
      <c r="AU146" s="2">
        <v>2.0</v>
      </c>
      <c r="AV146" s="2">
        <v>5.0</v>
      </c>
      <c r="AW146" s="2">
        <v>1.0</v>
      </c>
      <c r="AX146" s="2">
        <v>1.0</v>
      </c>
      <c r="AY146" s="2">
        <v>1.0</v>
      </c>
      <c r="AZ146" s="2">
        <v>1.0</v>
      </c>
      <c r="BA146" s="2">
        <v>5.0</v>
      </c>
      <c r="BB146" s="2">
        <v>1.0</v>
      </c>
      <c r="BC146" s="2">
        <v>1.0</v>
      </c>
      <c r="BD146" s="2">
        <v>1.0</v>
      </c>
      <c r="BE146" s="2">
        <v>5.0</v>
      </c>
      <c r="BF146" s="2">
        <v>1.0</v>
      </c>
      <c r="BG146" s="2">
        <v>2.0</v>
      </c>
      <c r="BH146" s="2">
        <v>1.0</v>
      </c>
      <c r="BI146" s="2">
        <v>1.0</v>
      </c>
      <c r="BJ146" s="2">
        <v>3.0</v>
      </c>
      <c r="BK146" s="2">
        <v>1.0</v>
      </c>
      <c r="BL146" s="2">
        <v>1.0</v>
      </c>
      <c r="BM146" s="2">
        <v>1.0</v>
      </c>
      <c r="BN146" s="2">
        <v>3.0</v>
      </c>
      <c r="BO146" s="2">
        <v>1.0</v>
      </c>
      <c r="BP146" s="2">
        <v>1.0</v>
      </c>
      <c r="BQ146" s="2" t="s">
        <v>390</v>
      </c>
      <c r="BR146" s="2" t="s">
        <v>391</v>
      </c>
      <c r="BS146" s="2" t="s">
        <v>392</v>
      </c>
      <c r="BT146" s="2" t="s">
        <v>393</v>
      </c>
      <c r="BU146" s="2" t="s">
        <v>395</v>
      </c>
      <c r="BV146" s="2" t="s">
        <v>396</v>
      </c>
      <c r="BW146" s="2" t="s">
        <v>573</v>
      </c>
      <c r="BX146" s="2" t="s">
        <v>33</v>
      </c>
      <c r="BY146" s="2" t="s">
        <v>33</v>
      </c>
      <c r="BZ146" s="2" t="s">
        <v>33</v>
      </c>
      <c r="CA146" s="2" t="s">
        <v>33</v>
      </c>
      <c r="CB146" s="2" t="s">
        <v>33</v>
      </c>
      <c r="CC146" s="2" t="s">
        <v>2077</v>
      </c>
      <c r="CD146" s="2">
        <v>4.0</v>
      </c>
      <c r="CE146" s="2" t="s">
        <v>794</v>
      </c>
      <c r="CF146" s="2" t="s">
        <v>1083</v>
      </c>
      <c r="CG146" s="2" t="s">
        <v>999</v>
      </c>
      <c r="CH146" s="2" t="s">
        <v>33</v>
      </c>
      <c r="CI146" s="2" t="s">
        <v>33</v>
      </c>
      <c r="CJ146" s="2" t="s">
        <v>33</v>
      </c>
      <c r="CK146" s="2" t="s">
        <v>859</v>
      </c>
      <c r="CL146" s="2" t="s">
        <v>466</v>
      </c>
      <c r="CM146" s="4">
        <v>45763.0</v>
      </c>
      <c r="CN146" s="4">
        <v>45766.0</v>
      </c>
      <c r="CO146" s="2">
        <v>4.0</v>
      </c>
      <c r="CP146" s="2" t="s">
        <v>529</v>
      </c>
      <c r="CQ146" s="2" t="s">
        <v>369</v>
      </c>
      <c r="CR146" s="2" t="s">
        <v>442</v>
      </c>
      <c r="CS146" s="2" t="s">
        <v>529</v>
      </c>
      <c r="CT146" s="2" t="s">
        <v>368</v>
      </c>
      <c r="CU146" s="2" t="s">
        <v>372</v>
      </c>
    </row>
    <row r="147" ht="12.75" customHeight="1">
      <c r="A147" s="2">
        <v>146.0</v>
      </c>
      <c r="B147" s="2">
        <v>1.0</v>
      </c>
      <c r="C147" s="2" t="s">
        <v>358</v>
      </c>
      <c r="D147" s="2" t="s">
        <v>359</v>
      </c>
      <c r="E147" s="2" t="s">
        <v>473</v>
      </c>
      <c r="F147" s="2" t="s">
        <v>437</v>
      </c>
      <c r="G147" s="2" t="s">
        <v>437</v>
      </c>
      <c r="H147" s="2" t="s">
        <v>362</v>
      </c>
      <c r="I147" s="2" t="s">
        <v>425</v>
      </c>
      <c r="J147" s="2" t="s">
        <v>365</v>
      </c>
      <c r="K147" s="2" t="s">
        <v>366</v>
      </c>
      <c r="L147" s="2" t="s">
        <v>367</v>
      </c>
      <c r="M147" s="2" t="s">
        <v>368</v>
      </c>
      <c r="N147" s="2" t="s">
        <v>478</v>
      </c>
      <c r="O147" s="2" t="s">
        <v>442</v>
      </c>
      <c r="P147" s="2" t="s">
        <v>860</v>
      </c>
      <c r="Q147" s="2" t="s">
        <v>480</v>
      </c>
      <c r="R147" s="2" t="s">
        <v>480</v>
      </c>
      <c r="S147" s="2" t="s">
        <v>444</v>
      </c>
      <c r="T147" s="2" t="s">
        <v>378</v>
      </c>
      <c r="U147" s="2" t="s">
        <v>378</v>
      </c>
      <c r="V147" s="2" t="s">
        <v>378</v>
      </c>
      <c r="W147" s="2" t="s">
        <v>444</v>
      </c>
      <c r="X147" s="2" t="s">
        <v>444</v>
      </c>
      <c r="Y147" s="2" t="s">
        <v>378</v>
      </c>
      <c r="Z147" s="2" t="s">
        <v>444</v>
      </c>
      <c r="AA147" s="2" t="s">
        <v>382</v>
      </c>
      <c r="AB147" s="2" t="s">
        <v>490</v>
      </c>
      <c r="AC147" s="2" t="s">
        <v>385</v>
      </c>
      <c r="AD147" s="2" t="s">
        <v>386</v>
      </c>
      <c r="AE147" s="2" t="s">
        <v>387</v>
      </c>
      <c r="AF147" s="2" t="s">
        <v>455</v>
      </c>
      <c r="AG147" s="2" t="s">
        <v>33</v>
      </c>
      <c r="AH147" s="2" t="s">
        <v>33</v>
      </c>
      <c r="AI147" s="2" t="s">
        <v>33</v>
      </c>
      <c r="AJ147" s="2" t="s">
        <v>33</v>
      </c>
      <c r="AK147" s="2" t="s">
        <v>33</v>
      </c>
      <c r="AL147" s="2">
        <v>1.0</v>
      </c>
      <c r="AM147" s="2">
        <v>2.0</v>
      </c>
      <c r="AN147" s="2">
        <v>2.0</v>
      </c>
      <c r="AO147" s="2">
        <v>3.0</v>
      </c>
      <c r="AP147" s="2">
        <v>3.0</v>
      </c>
      <c r="AQ147" s="2">
        <v>3.0</v>
      </c>
      <c r="AR147" s="2">
        <v>1.0</v>
      </c>
      <c r="AS147" s="2">
        <v>1.0</v>
      </c>
      <c r="AT147" s="2">
        <v>1.0</v>
      </c>
      <c r="AU147" s="2">
        <v>3.0</v>
      </c>
      <c r="AV147" s="2">
        <v>4.0</v>
      </c>
      <c r="AW147" s="2">
        <v>2.0</v>
      </c>
      <c r="AX147" s="2">
        <v>1.0</v>
      </c>
      <c r="AY147" s="2">
        <v>1.0</v>
      </c>
      <c r="AZ147" s="2">
        <v>1.0</v>
      </c>
      <c r="BA147" s="2">
        <v>5.0</v>
      </c>
      <c r="BB147" s="2">
        <v>1.0</v>
      </c>
      <c r="BC147" s="2">
        <v>2.0</v>
      </c>
      <c r="BD147" s="2">
        <v>1.0</v>
      </c>
      <c r="BE147" s="2">
        <v>5.0</v>
      </c>
      <c r="BF147" s="2">
        <v>1.0</v>
      </c>
      <c r="BG147" s="2">
        <v>1.0</v>
      </c>
      <c r="BH147" s="2">
        <v>3.0</v>
      </c>
      <c r="BI147" s="2">
        <v>1.0</v>
      </c>
      <c r="BJ147" s="2">
        <v>1.0</v>
      </c>
      <c r="BK147" s="2">
        <v>1.0</v>
      </c>
      <c r="BL147" s="2">
        <v>1.0</v>
      </c>
      <c r="BM147" s="2">
        <v>1.0</v>
      </c>
      <c r="BN147" s="2">
        <v>5.0</v>
      </c>
      <c r="BO147" s="2">
        <v>1.0</v>
      </c>
      <c r="BP147" s="2">
        <v>1.0</v>
      </c>
      <c r="BQ147" s="2" t="s">
        <v>389</v>
      </c>
      <c r="BR147" s="2" t="s">
        <v>390</v>
      </c>
      <c r="BS147" s="2" t="s">
        <v>392</v>
      </c>
      <c r="BT147" s="2" t="s">
        <v>393</v>
      </c>
      <c r="BU147" s="2" t="s">
        <v>396</v>
      </c>
      <c r="BV147" s="2" t="s">
        <v>33</v>
      </c>
      <c r="BW147" s="2" t="s">
        <v>33</v>
      </c>
      <c r="BX147" s="2" t="s">
        <v>33</v>
      </c>
      <c r="BY147" s="2" t="s">
        <v>33</v>
      </c>
      <c r="BZ147" s="2" t="s">
        <v>33</v>
      </c>
      <c r="CA147" s="2" t="s">
        <v>33</v>
      </c>
      <c r="CB147" s="2" t="s">
        <v>33</v>
      </c>
      <c r="CC147" s="3" t="s">
        <v>2078</v>
      </c>
      <c r="CD147" s="2">
        <v>2.0</v>
      </c>
      <c r="CE147" s="2" t="s">
        <v>899</v>
      </c>
      <c r="CF147" s="2" t="s">
        <v>952</v>
      </c>
      <c r="CG147" s="2" t="s">
        <v>33</v>
      </c>
      <c r="CH147" s="2" t="s">
        <v>33</v>
      </c>
      <c r="CI147" s="2" t="s">
        <v>33</v>
      </c>
      <c r="CJ147" s="2" t="s">
        <v>33</v>
      </c>
      <c r="CK147" s="2" t="s">
        <v>425</v>
      </c>
      <c r="CL147" s="2" t="s">
        <v>367</v>
      </c>
      <c r="CM147" s="4">
        <v>45765.0</v>
      </c>
      <c r="CN147" s="4">
        <v>45767.0</v>
      </c>
      <c r="CO147" s="2">
        <v>3.0</v>
      </c>
      <c r="CP147" s="2" t="s">
        <v>529</v>
      </c>
      <c r="CQ147" s="2" t="s">
        <v>478</v>
      </c>
      <c r="CR147" s="2" t="s">
        <v>442</v>
      </c>
      <c r="CS147" s="2" t="s">
        <v>529</v>
      </c>
      <c r="CT147" s="2" t="s">
        <v>368</v>
      </c>
      <c r="CU147" s="2" t="s">
        <v>860</v>
      </c>
    </row>
    <row r="148" ht="12.75" customHeight="1">
      <c r="A148" s="2">
        <v>147.0</v>
      </c>
      <c r="B148" s="2">
        <v>2.0</v>
      </c>
      <c r="C148" s="2" t="s">
        <v>358</v>
      </c>
      <c r="D148" s="2" t="s">
        <v>359</v>
      </c>
      <c r="E148" s="2" t="s">
        <v>801</v>
      </c>
      <c r="F148" s="2" t="s">
        <v>437</v>
      </c>
      <c r="G148" s="2" t="s">
        <v>437</v>
      </c>
      <c r="H148" s="2" t="s">
        <v>540</v>
      </c>
      <c r="I148" s="2" t="s">
        <v>1608</v>
      </c>
      <c r="J148" s="2" t="s">
        <v>2079</v>
      </c>
      <c r="K148" s="2" t="s">
        <v>366</v>
      </c>
      <c r="L148" s="2" t="s">
        <v>440</v>
      </c>
      <c r="M148" s="2" t="s">
        <v>645</v>
      </c>
      <c r="N148" s="2" t="s">
        <v>441</v>
      </c>
      <c r="O148" s="2" t="s">
        <v>442</v>
      </c>
      <c r="P148" s="2" t="s">
        <v>1026</v>
      </c>
      <c r="Q148" s="2" t="s">
        <v>480</v>
      </c>
      <c r="R148" s="2" t="s">
        <v>480</v>
      </c>
      <c r="S148" s="2" t="s">
        <v>378</v>
      </c>
      <c r="T148" s="2" t="s">
        <v>376</v>
      </c>
      <c r="U148" s="2" t="s">
        <v>378</v>
      </c>
      <c r="V148" s="2" t="s">
        <v>378</v>
      </c>
      <c r="W148" s="2" t="s">
        <v>444</v>
      </c>
      <c r="X148" s="2" t="s">
        <v>378</v>
      </c>
      <c r="Y148" s="2" t="s">
        <v>378</v>
      </c>
      <c r="Z148" s="2" t="s">
        <v>444</v>
      </c>
      <c r="AA148" s="2" t="s">
        <v>382</v>
      </c>
      <c r="AB148" s="2" t="s">
        <v>490</v>
      </c>
      <c r="AC148" s="2" t="s">
        <v>552</v>
      </c>
      <c r="AD148" s="2" t="s">
        <v>452</v>
      </c>
      <c r="AE148" s="2" t="s">
        <v>387</v>
      </c>
      <c r="AF148" s="2" t="s">
        <v>388</v>
      </c>
      <c r="AG148" s="2" t="s">
        <v>455</v>
      </c>
      <c r="AH148" s="2" t="s">
        <v>33</v>
      </c>
      <c r="AI148" s="2" t="s">
        <v>33</v>
      </c>
      <c r="AJ148" s="2" t="s">
        <v>33</v>
      </c>
      <c r="AK148" s="2" t="s">
        <v>33</v>
      </c>
      <c r="AL148" s="2">
        <v>3.0</v>
      </c>
      <c r="AM148" s="2">
        <v>3.0</v>
      </c>
      <c r="AN148" s="2">
        <v>2.0</v>
      </c>
      <c r="AO148" s="2">
        <v>4.0</v>
      </c>
      <c r="AP148" s="2">
        <v>3.0</v>
      </c>
      <c r="AQ148" s="2">
        <v>2.0</v>
      </c>
      <c r="AR148" s="2">
        <v>4.0</v>
      </c>
      <c r="AS148" s="2">
        <v>4.0</v>
      </c>
      <c r="AT148" s="2">
        <v>3.0</v>
      </c>
      <c r="AU148" s="2">
        <v>2.0</v>
      </c>
      <c r="AV148" s="2">
        <v>2.0</v>
      </c>
      <c r="AW148" s="2">
        <v>1.0</v>
      </c>
      <c r="AX148" s="2">
        <v>1.0</v>
      </c>
      <c r="AY148" s="2">
        <v>3.0</v>
      </c>
      <c r="AZ148" s="2">
        <v>1.0</v>
      </c>
      <c r="BA148" s="2">
        <v>3.0</v>
      </c>
      <c r="BB148" s="2">
        <v>1.0</v>
      </c>
      <c r="BC148" s="2">
        <v>1.0</v>
      </c>
      <c r="BD148" s="2">
        <v>1.0</v>
      </c>
      <c r="BE148" s="2">
        <v>2.0</v>
      </c>
      <c r="BF148" s="2">
        <v>1.0</v>
      </c>
      <c r="BG148" s="2">
        <v>1.0</v>
      </c>
      <c r="BH148" s="2">
        <v>1.0</v>
      </c>
      <c r="BI148" s="2">
        <v>1.0</v>
      </c>
      <c r="BJ148" s="2">
        <v>1.0</v>
      </c>
      <c r="BK148" s="2">
        <v>1.0</v>
      </c>
      <c r="BL148" s="2">
        <v>1.0</v>
      </c>
      <c r="BM148" s="2">
        <v>1.0</v>
      </c>
      <c r="BN148" s="2">
        <v>3.0</v>
      </c>
      <c r="BO148" s="2">
        <v>1.0</v>
      </c>
      <c r="BP148" s="2">
        <v>2.0</v>
      </c>
      <c r="BQ148" s="2" t="s">
        <v>568</v>
      </c>
      <c r="BR148" s="2" t="s">
        <v>390</v>
      </c>
      <c r="BS148" s="2" t="s">
        <v>391</v>
      </c>
      <c r="BT148" s="2" t="s">
        <v>392</v>
      </c>
      <c r="BU148" s="2" t="s">
        <v>393</v>
      </c>
      <c r="BV148" s="2" t="s">
        <v>395</v>
      </c>
      <c r="BW148" s="2" t="s">
        <v>519</v>
      </c>
      <c r="BX148" s="2" t="s">
        <v>396</v>
      </c>
      <c r="BY148" s="2" t="s">
        <v>33</v>
      </c>
      <c r="BZ148" s="2" t="s">
        <v>33</v>
      </c>
      <c r="CA148" s="2" t="s">
        <v>33</v>
      </c>
      <c r="CB148" s="2" t="s">
        <v>33</v>
      </c>
      <c r="CC148" s="3" t="s">
        <v>2080</v>
      </c>
      <c r="CD148" s="2">
        <v>4.0</v>
      </c>
      <c r="CE148" s="2" t="s">
        <v>899</v>
      </c>
      <c r="CF148" s="2" t="s">
        <v>1019</v>
      </c>
      <c r="CG148" s="2" t="s">
        <v>999</v>
      </c>
      <c r="CH148" s="2" t="s">
        <v>33</v>
      </c>
      <c r="CI148" s="2" t="s">
        <v>33</v>
      </c>
      <c r="CJ148" s="2" t="s">
        <v>33</v>
      </c>
      <c r="CK148" s="2" t="s">
        <v>1608</v>
      </c>
      <c r="CL148" s="2" t="s">
        <v>466</v>
      </c>
      <c r="CM148" s="4">
        <v>45764.0</v>
      </c>
      <c r="CN148" s="4">
        <v>45767.0</v>
      </c>
      <c r="CO148" s="2">
        <v>4.0</v>
      </c>
      <c r="CP148" s="2" t="s">
        <v>529</v>
      </c>
      <c r="CQ148" s="2" t="s">
        <v>441</v>
      </c>
      <c r="CR148" s="2" t="s">
        <v>442</v>
      </c>
      <c r="CS148" s="2" t="s">
        <v>529</v>
      </c>
      <c r="CT148" s="2" t="s">
        <v>645</v>
      </c>
      <c r="CU148" s="2" t="s">
        <v>1026</v>
      </c>
    </row>
    <row r="149" ht="12.75" customHeight="1">
      <c r="A149" s="2">
        <v>148.0</v>
      </c>
      <c r="B149" s="2">
        <v>5.0</v>
      </c>
      <c r="C149" s="2" t="s">
        <v>358</v>
      </c>
      <c r="D149" s="2" t="s">
        <v>639</v>
      </c>
      <c r="E149" s="2" t="s">
        <v>360</v>
      </c>
      <c r="F149" s="2" t="s">
        <v>443</v>
      </c>
      <c r="G149" s="2" t="s">
        <v>443</v>
      </c>
      <c r="H149" s="2" t="s">
        <v>362</v>
      </c>
      <c r="I149" s="2" t="s">
        <v>2081</v>
      </c>
      <c r="J149" s="2" t="s">
        <v>33</v>
      </c>
      <c r="K149" s="2" t="s">
        <v>33</v>
      </c>
      <c r="L149" s="2" t="s">
        <v>1056</v>
      </c>
      <c r="M149" s="2" t="s">
        <v>645</v>
      </c>
      <c r="N149" s="2" t="s">
        <v>369</v>
      </c>
      <c r="O149" s="2" t="s">
        <v>442</v>
      </c>
      <c r="P149" s="2" t="s">
        <v>762</v>
      </c>
      <c r="Q149" s="2" t="s">
        <v>480</v>
      </c>
      <c r="R149" s="2" t="s">
        <v>480</v>
      </c>
      <c r="S149" s="2" t="s">
        <v>444</v>
      </c>
      <c r="T149" s="2" t="s">
        <v>378</v>
      </c>
      <c r="U149" s="2" t="s">
        <v>376</v>
      </c>
      <c r="V149" s="2" t="s">
        <v>378</v>
      </c>
      <c r="W149" s="2" t="s">
        <v>444</v>
      </c>
      <c r="X149" s="2" t="s">
        <v>444</v>
      </c>
      <c r="Y149" s="2" t="s">
        <v>378</v>
      </c>
      <c r="Z149" s="2" t="s">
        <v>378</v>
      </c>
      <c r="AA149" s="2" t="s">
        <v>2082</v>
      </c>
      <c r="AB149" s="2" t="s">
        <v>359</v>
      </c>
      <c r="AC149" s="2" t="s">
        <v>552</v>
      </c>
      <c r="AD149" s="2" t="s">
        <v>385</v>
      </c>
      <c r="AE149" s="2" t="s">
        <v>1141</v>
      </c>
      <c r="AF149" s="2" t="s">
        <v>1094</v>
      </c>
      <c r="AG149" s="2" t="s">
        <v>388</v>
      </c>
      <c r="AH149" s="2" t="s">
        <v>454</v>
      </c>
      <c r="AI149" s="2" t="s">
        <v>454</v>
      </c>
      <c r="AJ149" s="2" t="s">
        <v>33</v>
      </c>
      <c r="AK149" s="2" t="s">
        <v>33</v>
      </c>
      <c r="AL149" s="2">
        <v>2.0</v>
      </c>
      <c r="AM149" s="2">
        <v>5.0</v>
      </c>
      <c r="AN149" s="2">
        <v>1.0</v>
      </c>
      <c r="AO149" s="2">
        <v>3.0</v>
      </c>
      <c r="AP149" s="2">
        <v>5.0</v>
      </c>
      <c r="AQ149" s="2">
        <v>5.0</v>
      </c>
      <c r="AR149" s="2">
        <v>5.0</v>
      </c>
      <c r="AS149" s="2">
        <v>5.0</v>
      </c>
      <c r="AT149" s="2">
        <v>5.0</v>
      </c>
      <c r="AU149" s="2">
        <v>3.0</v>
      </c>
      <c r="AV149" s="2">
        <v>3.0</v>
      </c>
      <c r="AW149" s="2">
        <v>4.0</v>
      </c>
      <c r="AX149" s="2">
        <v>2.0</v>
      </c>
      <c r="AY149" s="2">
        <v>5.0</v>
      </c>
      <c r="AZ149" s="2">
        <v>1.0</v>
      </c>
      <c r="BA149" s="2">
        <v>5.0</v>
      </c>
      <c r="BB149" s="2">
        <v>1.0</v>
      </c>
      <c r="BC149" s="2">
        <v>5.0</v>
      </c>
      <c r="BD149" s="2">
        <v>3.0</v>
      </c>
      <c r="BE149" s="2">
        <v>1.0</v>
      </c>
      <c r="BF149" s="2">
        <v>1.0</v>
      </c>
      <c r="BG149" s="2">
        <v>1.0</v>
      </c>
      <c r="BH149" s="2">
        <v>5.0</v>
      </c>
      <c r="BI149" s="2">
        <v>1.0</v>
      </c>
      <c r="BJ149" s="2">
        <v>1.0</v>
      </c>
      <c r="BK149" s="2">
        <v>1.0</v>
      </c>
      <c r="BL149" s="2">
        <v>1.0</v>
      </c>
      <c r="BM149" s="2">
        <v>1.0</v>
      </c>
      <c r="BN149" s="2">
        <v>4.0</v>
      </c>
      <c r="BO149" s="2">
        <v>1.0</v>
      </c>
      <c r="BP149" s="2">
        <v>1.0</v>
      </c>
      <c r="BQ149" s="2" t="s">
        <v>389</v>
      </c>
      <c r="BR149" s="2" t="s">
        <v>390</v>
      </c>
      <c r="BS149" s="2" t="s">
        <v>391</v>
      </c>
      <c r="BT149" s="2" t="s">
        <v>392</v>
      </c>
      <c r="BU149" s="2" t="s">
        <v>396</v>
      </c>
      <c r="BV149" s="2" t="s">
        <v>33</v>
      </c>
      <c r="BW149" s="2" t="s">
        <v>33</v>
      </c>
      <c r="BX149" s="2" t="s">
        <v>33</v>
      </c>
      <c r="BY149" s="2" t="s">
        <v>33</v>
      </c>
      <c r="BZ149" s="2" t="s">
        <v>33</v>
      </c>
      <c r="CA149" s="2" t="s">
        <v>33</v>
      </c>
      <c r="CB149" s="2" t="s">
        <v>33</v>
      </c>
      <c r="CC149" s="2" t="s">
        <v>2083</v>
      </c>
      <c r="CD149" s="2">
        <v>5.0</v>
      </c>
      <c r="CE149" s="2" t="s">
        <v>794</v>
      </c>
      <c r="CF149" s="2" t="s">
        <v>899</v>
      </c>
      <c r="CG149" s="2" t="s">
        <v>1083</v>
      </c>
      <c r="CH149" s="2" t="s">
        <v>999</v>
      </c>
      <c r="CI149" s="2" t="s">
        <v>33</v>
      </c>
      <c r="CJ149" s="2" t="s">
        <v>33</v>
      </c>
      <c r="CK149" s="2" t="s">
        <v>366</v>
      </c>
      <c r="CL149" s="2" t="s">
        <v>466</v>
      </c>
      <c r="CM149" s="2" t="s">
        <v>33</v>
      </c>
      <c r="CN149" s="2" t="s">
        <v>33</v>
      </c>
      <c r="CO149" s="2" t="s">
        <v>33</v>
      </c>
      <c r="CP149" s="2" t="s">
        <v>529</v>
      </c>
      <c r="CQ149" s="2" t="s">
        <v>369</v>
      </c>
      <c r="CR149" s="2" t="s">
        <v>442</v>
      </c>
      <c r="CS149" s="2" t="s">
        <v>529</v>
      </c>
      <c r="CT149" s="2" t="s">
        <v>645</v>
      </c>
      <c r="CU149" s="2" t="s">
        <v>762</v>
      </c>
    </row>
    <row r="150" ht="12.75" customHeight="1">
      <c r="A150" s="2">
        <v>149.0</v>
      </c>
      <c r="B150" s="2">
        <v>1.0</v>
      </c>
      <c r="C150" s="2" t="s">
        <v>358</v>
      </c>
      <c r="D150" s="2" t="s">
        <v>359</v>
      </c>
      <c r="E150" s="2" t="s">
        <v>801</v>
      </c>
      <c r="F150" s="2" t="s">
        <v>437</v>
      </c>
      <c r="G150" s="2" t="s">
        <v>437</v>
      </c>
      <c r="H150" s="2" t="s">
        <v>362</v>
      </c>
      <c r="I150" s="2" t="s">
        <v>2084</v>
      </c>
      <c r="J150" s="2" t="s">
        <v>33</v>
      </c>
      <c r="K150" s="2" t="s">
        <v>33</v>
      </c>
      <c r="L150" s="2" t="s">
        <v>984</v>
      </c>
      <c r="M150" s="2" t="s">
        <v>368</v>
      </c>
      <c r="N150" s="2" t="s">
        <v>369</v>
      </c>
      <c r="O150" s="2" t="s">
        <v>442</v>
      </c>
      <c r="P150" s="2" t="s">
        <v>372</v>
      </c>
      <c r="Q150" s="2" t="s">
        <v>480</v>
      </c>
      <c r="R150" s="2" t="s">
        <v>480</v>
      </c>
      <c r="S150" s="2" t="s">
        <v>376</v>
      </c>
      <c r="T150" s="2" t="s">
        <v>378</v>
      </c>
      <c r="U150" s="2" t="s">
        <v>376</v>
      </c>
      <c r="V150" s="2" t="s">
        <v>376</v>
      </c>
      <c r="W150" s="2" t="s">
        <v>444</v>
      </c>
      <c r="X150" s="2" t="s">
        <v>444</v>
      </c>
      <c r="Y150" s="2" t="s">
        <v>376</v>
      </c>
      <c r="Z150" s="2" t="s">
        <v>376</v>
      </c>
      <c r="AA150" s="2" t="s">
        <v>382</v>
      </c>
      <c r="AB150" s="2" t="s">
        <v>551</v>
      </c>
      <c r="AC150" s="2" t="s">
        <v>1141</v>
      </c>
      <c r="AD150" s="2" t="s">
        <v>1094</v>
      </c>
      <c r="AE150" s="2" t="s">
        <v>455</v>
      </c>
      <c r="AF150" s="2" t="s">
        <v>33</v>
      </c>
      <c r="AG150" s="2" t="s">
        <v>33</v>
      </c>
      <c r="AH150" s="2" t="s">
        <v>33</v>
      </c>
      <c r="AI150" s="2" t="s">
        <v>33</v>
      </c>
      <c r="AJ150" s="2" t="s">
        <v>33</v>
      </c>
      <c r="AK150" s="2" t="s">
        <v>33</v>
      </c>
      <c r="AL150" s="2">
        <v>5.0</v>
      </c>
      <c r="AM150" s="2">
        <v>3.0</v>
      </c>
      <c r="AN150" s="2">
        <v>3.0</v>
      </c>
      <c r="AO150" s="2">
        <v>4.0</v>
      </c>
      <c r="AP150" s="2">
        <v>4.0</v>
      </c>
      <c r="AQ150" s="2">
        <v>1.0</v>
      </c>
      <c r="AR150" s="2">
        <v>5.0</v>
      </c>
      <c r="AS150" s="2">
        <v>5.0</v>
      </c>
      <c r="AT150" s="2">
        <v>5.0</v>
      </c>
      <c r="AU150" s="2">
        <v>4.0</v>
      </c>
      <c r="AV150" s="2">
        <v>3.0</v>
      </c>
      <c r="AW150" s="2">
        <v>4.0</v>
      </c>
      <c r="AX150" s="2">
        <v>2.0</v>
      </c>
      <c r="AY150" s="2">
        <v>4.0</v>
      </c>
      <c r="AZ150" s="2">
        <v>3.0</v>
      </c>
      <c r="BA150" s="2">
        <v>4.0</v>
      </c>
      <c r="BB150" s="2">
        <v>2.0</v>
      </c>
      <c r="BC150" s="2">
        <v>4.0</v>
      </c>
      <c r="BD150" s="2">
        <v>3.0</v>
      </c>
      <c r="BE150" s="2">
        <v>5.0</v>
      </c>
      <c r="BF150" s="2">
        <v>1.0</v>
      </c>
      <c r="BG150" s="2">
        <v>2.0</v>
      </c>
      <c r="BH150" s="2">
        <v>1.0</v>
      </c>
      <c r="BI150" s="2">
        <v>1.0</v>
      </c>
      <c r="BJ150" s="2">
        <v>4.0</v>
      </c>
      <c r="BK150" s="2">
        <v>1.0</v>
      </c>
      <c r="BL150" s="2">
        <v>2.0</v>
      </c>
      <c r="BM150" s="2">
        <v>1.0</v>
      </c>
      <c r="BN150" s="2">
        <v>5.0</v>
      </c>
      <c r="BO150" s="2">
        <v>1.0</v>
      </c>
      <c r="BP150" s="2">
        <v>1.0</v>
      </c>
      <c r="BQ150" s="2" t="s">
        <v>390</v>
      </c>
      <c r="BR150" s="2" t="s">
        <v>391</v>
      </c>
      <c r="BS150" s="2" t="s">
        <v>392</v>
      </c>
      <c r="BT150" s="2" t="s">
        <v>33</v>
      </c>
      <c r="BU150" s="2" t="s">
        <v>33</v>
      </c>
      <c r="BV150" s="2" t="s">
        <v>33</v>
      </c>
      <c r="BW150" s="2" t="s">
        <v>33</v>
      </c>
      <c r="BX150" s="2" t="s">
        <v>33</v>
      </c>
      <c r="BY150" s="2" t="s">
        <v>33</v>
      </c>
      <c r="BZ150" s="2" t="s">
        <v>33</v>
      </c>
      <c r="CA150" s="2" t="s">
        <v>33</v>
      </c>
      <c r="CB150" s="2" t="s">
        <v>33</v>
      </c>
      <c r="CC150" s="2" t="s">
        <v>2085</v>
      </c>
      <c r="CD150" s="2">
        <v>3.0</v>
      </c>
      <c r="CE150" s="2" t="s">
        <v>899</v>
      </c>
      <c r="CF150" s="2" t="s">
        <v>999</v>
      </c>
      <c r="CG150" s="2" t="s">
        <v>33</v>
      </c>
      <c r="CH150" s="2" t="s">
        <v>33</v>
      </c>
      <c r="CI150" s="2" t="s">
        <v>33</v>
      </c>
      <c r="CJ150" s="2" t="s">
        <v>33</v>
      </c>
      <c r="CK150" s="2" t="s">
        <v>2086</v>
      </c>
      <c r="CL150" s="2" t="s">
        <v>466</v>
      </c>
      <c r="CM150" s="2" t="s">
        <v>33</v>
      </c>
      <c r="CN150" s="2" t="s">
        <v>33</v>
      </c>
      <c r="CO150" s="2" t="s">
        <v>33</v>
      </c>
      <c r="CP150" s="2" t="s">
        <v>529</v>
      </c>
      <c r="CQ150" s="2" t="s">
        <v>369</v>
      </c>
      <c r="CR150" s="2" t="s">
        <v>442</v>
      </c>
      <c r="CS150" s="2" t="s">
        <v>529</v>
      </c>
      <c r="CT150" s="2" t="s">
        <v>368</v>
      </c>
      <c r="CU150" s="2" t="s">
        <v>372</v>
      </c>
    </row>
    <row r="151" ht="12.75" customHeight="1">
      <c r="A151" s="2">
        <v>150.0</v>
      </c>
      <c r="B151" s="2">
        <v>1.0</v>
      </c>
      <c r="C151" s="2" t="s">
        <v>358</v>
      </c>
      <c r="D151" s="2" t="s">
        <v>359</v>
      </c>
      <c r="E151" s="2" t="s">
        <v>801</v>
      </c>
      <c r="F151" s="2" t="s">
        <v>437</v>
      </c>
      <c r="G151" s="2" t="s">
        <v>437</v>
      </c>
      <c r="H151" s="2" t="s">
        <v>362</v>
      </c>
      <c r="I151" s="2" t="s">
        <v>2087</v>
      </c>
      <c r="J151" s="2" t="s">
        <v>33</v>
      </c>
      <c r="K151" s="2" t="s">
        <v>33</v>
      </c>
      <c r="L151" s="2" t="s">
        <v>984</v>
      </c>
      <c r="M151" s="2" t="s">
        <v>368</v>
      </c>
      <c r="N151" s="2" t="s">
        <v>369</v>
      </c>
      <c r="O151" s="2" t="s">
        <v>442</v>
      </c>
      <c r="P151" s="2" t="s">
        <v>372</v>
      </c>
      <c r="Q151" s="2" t="s">
        <v>480</v>
      </c>
      <c r="R151" s="2" t="s">
        <v>480</v>
      </c>
      <c r="S151" s="2" t="s">
        <v>378</v>
      </c>
      <c r="T151" s="2" t="s">
        <v>376</v>
      </c>
      <c r="U151" s="2" t="s">
        <v>376</v>
      </c>
      <c r="V151" s="2" t="s">
        <v>376</v>
      </c>
      <c r="W151" s="2" t="s">
        <v>378</v>
      </c>
      <c r="X151" s="2" t="s">
        <v>378</v>
      </c>
      <c r="Y151" s="2" t="s">
        <v>444</v>
      </c>
      <c r="Z151" s="2" t="s">
        <v>444</v>
      </c>
      <c r="AA151" s="2" t="s">
        <v>986</v>
      </c>
      <c r="AB151" s="2" t="s">
        <v>1112</v>
      </c>
      <c r="AC151" s="2" t="s">
        <v>1141</v>
      </c>
      <c r="AD151" s="2" t="s">
        <v>1094</v>
      </c>
      <c r="AE151" s="2" t="s">
        <v>388</v>
      </c>
      <c r="AF151" s="2" t="s">
        <v>33</v>
      </c>
      <c r="AG151" s="2" t="s">
        <v>33</v>
      </c>
      <c r="AH151" s="2" t="s">
        <v>33</v>
      </c>
      <c r="AI151" s="2" t="s">
        <v>33</v>
      </c>
      <c r="AJ151" s="2" t="s">
        <v>33</v>
      </c>
      <c r="AK151" s="2" t="s">
        <v>33</v>
      </c>
      <c r="AL151" s="2">
        <v>2.0</v>
      </c>
      <c r="AM151" s="2">
        <v>3.0</v>
      </c>
      <c r="AN151" s="2">
        <v>1.0</v>
      </c>
      <c r="AO151" s="2">
        <v>3.0</v>
      </c>
      <c r="AP151" s="2">
        <v>4.0</v>
      </c>
      <c r="AQ151" s="2">
        <v>1.0</v>
      </c>
      <c r="AR151" s="2">
        <v>3.0</v>
      </c>
      <c r="AS151" s="2">
        <v>5.0</v>
      </c>
      <c r="AT151" s="2">
        <v>3.0</v>
      </c>
      <c r="AU151" s="2">
        <v>3.0</v>
      </c>
      <c r="AV151" s="2">
        <v>4.0</v>
      </c>
      <c r="AW151" s="2">
        <v>3.0</v>
      </c>
      <c r="AX151" s="2">
        <v>4.0</v>
      </c>
      <c r="AY151" s="2">
        <v>3.0</v>
      </c>
      <c r="AZ151" s="2">
        <v>4.0</v>
      </c>
      <c r="BA151" s="2">
        <v>3.0</v>
      </c>
      <c r="BB151" s="2">
        <v>3.0</v>
      </c>
      <c r="BC151" s="2">
        <v>3.0</v>
      </c>
      <c r="BD151" s="2">
        <v>2.0</v>
      </c>
      <c r="BE151" s="2">
        <v>5.0</v>
      </c>
      <c r="BF151" s="2">
        <v>1.0</v>
      </c>
      <c r="BG151" s="2">
        <v>2.0</v>
      </c>
      <c r="BH151" s="2">
        <v>1.0</v>
      </c>
      <c r="BI151" s="2">
        <v>2.0</v>
      </c>
      <c r="BJ151" s="2">
        <v>1.0</v>
      </c>
      <c r="BK151" s="2">
        <v>2.0</v>
      </c>
      <c r="BL151" s="2">
        <v>1.0</v>
      </c>
      <c r="BM151" s="2">
        <v>1.0</v>
      </c>
      <c r="BN151" s="2">
        <v>3.0</v>
      </c>
      <c r="BO151" s="2">
        <v>1.0</v>
      </c>
      <c r="BP151" s="2">
        <v>1.0</v>
      </c>
      <c r="BQ151" s="2" t="s">
        <v>390</v>
      </c>
      <c r="BR151" s="2" t="s">
        <v>391</v>
      </c>
      <c r="BS151" s="2" t="s">
        <v>392</v>
      </c>
      <c r="BT151" s="2" t="s">
        <v>393</v>
      </c>
      <c r="BU151" s="2" t="s">
        <v>396</v>
      </c>
      <c r="BV151" s="2" t="s">
        <v>730</v>
      </c>
      <c r="BW151" s="2" t="s">
        <v>33</v>
      </c>
      <c r="BX151" s="2" t="s">
        <v>33</v>
      </c>
      <c r="BY151" s="2" t="s">
        <v>33</v>
      </c>
      <c r="BZ151" s="2" t="s">
        <v>33</v>
      </c>
      <c r="CA151" s="2" t="s">
        <v>33</v>
      </c>
      <c r="CB151" s="2" t="s">
        <v>33</v>
      </c>
      <c r="CC151" s="3" t="s">
        <v>2088</v>
      </c>
      <c r="CD151" s="2">
        <v>3.0</v>
      </c>
      <c r="CE151" s="2" t="s">
        <v>899</v>
      </c>
      <c r="CF151" s="2" t="s">
        <v>1019</v>
      </c>
      <c r="CG151" s="2" t="s">
        <v>999</v>
      </c>
      <c r="CH151" s="2" t="s">
        <v>33</v>
      </c>
      <c r="CI151" s="2" t="s">
        <v>33</v>
      </c>
      <c r="CJ151" s="2" t="s">
        <v>33</v>
      </c>
      <c r="CK151" s="2" t="s">
        <v>2089</v>
      </c>
      <c r="CL151" s="2" t="s">
        <v>466</v>
      </c>
      <c r="CM151" s="4">
        <v>45674.0</v>
      </c>
      <c r="CN151" s="4">
        <v>45678.0</v>
      </c>
      <c r="CO151" s="2">
        <v>5.0</v>
      </c>
      <c r="CP151" s="2" t="s">
        <v>529</v>
      </c>
      <c r="CQ151" s="2" t="s">
        <v>369</v>
      </c>
      <c r="CR151" s="2" t="s">
        <v>442</v>
      </c>
      <c r="CS151" s="2" t="s">
        <v>529</v>
      </c>
      <c r="CT151" s="2" t="s">
        <v>368</v>
      </c>
      <c r="CU151" s="2" t="s">
        <v>372</v>
      </c>
    </row>
    <row r="152" ht="12.75" customHeight="1">
      <c r="A152" s="2">
        <v>151.0</v>
      </c>
      <c r="B152" s="2">
        <v>2.0</v>
      </c>
      <c r="C152" s="2" t="s">
        <v>358</v>
      </c>
      <c r="D152" s="2" t="s">
        <v>359</v>
      </c>
      <c r="E152" s="2" t="s">
        <v>360</v>
      </c>
      <c r="F152" s="2" t="s">
        <v>437</v>
      </c>
      <c r="G152" s="2" t="s">
        <v>437</v>
      </c>
      <c r="H152" s="2" t="s">
        <v>362</v>
      </c>
      <c r="I152" s="2" t="s">
        <v>2090</v>
      </c>
      <c r="J152" s="2" t="s">
        <v>33</v>
      </c>
      <c r="K152" s="2" t="s">
        <v>33</v>
      </c>
      <c r="L152" s="2" t="s">
        <v>984</v>
      </c>
      <c r="M152" s="2" t="s">
        <v>645</v>
      </c>
      <c r="N152" s="2" t="s">
        <v>441</v>
      </c>
      <c r="O152" s="2" t="s">
        <v>442</v>
      </c>
      <c r="P152" s="2" t="s">
        <v>762</v>
      </c>
      <c r="Q152" s="2" t="s">
        <v>361</v>
      </c>
      <c r="R152" s="2" t="s">
        <v>361</v>
      </c>
      <c r="S152" s="2" t="s">
        <v>378</v>
      </c>
      <c r="T152" s="2" t="s">
        <v>378</v>
      </c>
      <c r="U152" s="2" t="s">
        <v>376</v>
      </c>
      <c r="V152" s="2" t="s">
        <v>376</v>
      </c>
      <c r="W152" s="2" t="s">
        <v>444</v>
      </c>
      <c r="X152" s="2" t="s">
        <v>444</v>
      </c>
      <c r="Y152" s="2" t="s">
        <v>378</v>
      </c>
      <c r="Z152" s="2" t="s">
        <v>376</v>
      </c>
      <c r="AA152" s="2" t="s">
        <v>2091</v>
      </c>
      <c r="AB152" s="2" t="s">
        <v>2092</v>
      </c>
      <c r="AC152" s="2" t="s">
        <v>1141</v>
      </c>
      <c r="AD152" s="2" t="s">
        <v>1094</v>
      </c>
      <c r="AE152" s="2" t="s">
        <v>388</v>
      </c>
      <c r="AF152" s="2" t="s">
        <v>33</v>
      </c>
      <c r="AG152" s="2" t="s">
        <v>33</v>
      </c>
      <c r="AH152" s="2" t="s">
        <v>33</v>
      </c>
      <c r="AI152" s="2" t="s">
        <v>33</v>
      </c>
      <c r="AJ152" s="2" t="s">
        <v>33</v>
      </c>
      <c r="AK152" s="2" t="s">
        <v>33</v>
      </c>
      <c r="AL152" s="2">
        <v>1.0</v>
      </c>
      <c r="AM152" s="2">
        <v>4.0</v>
      </c>
      <c r="AN152" s="2">
        <v>1.0</v>
      </c>
      <c r="AO152" s="2">
        <v>3.0</v>
      </c>
      <c r="AP152" s="2">
        <v>3.0</v>
      </c>
      <c r="AQ152" s="2">
        <v>1.0</v>
      </c>
      <c r="AR152" s="2">
        <v>5.0</v>
      </c>
      <c r="AS152" s="2">
        <v>4.0</v>
      </c>
      <c r="AT152" s="2">
        <v>4.0</v>
      </c>
      <c r="AU152" s="2">
        <v>5.0</v>
      </c>
      <c r="AV152" s="2">
        <v>5.0</v>
      </c>
      <c r="AW152" s="2">
        <v>5.0</v>
      </c>
      <c r="AX152" s="2">
        <v>2.0</v>
      </c>
      <c r="AY152" s="2">
        <v>5.0</v>
      </c>
      <c r="AZ152" s="2">
        <v>2.0</v>
      </c>
      <c r="BA152" s="2">
        <v>5.0</v>
      </c>
      <c r="BB152" s="2">
        <v>4.0</v>
      </c>
      <c r="BC152" s="2">
        <v>5.0</v>
      </c>
      <c r="BD152" s="2">
        <v>5.0</v>
      </c>
      <c r="BE152" s="2">
        <v>5.0</v>
      </c>
      <c r="BF152" s="2">
        <v>1.0</v>
      </c>
      <c r="BG152" s="2">
        <v>2.0</v>
      </c>
      <c r="BH152" s="2">
        <v>1.0</v>
      </c>
      <c r="BI152" s="2">
        <v>1.0</v>
      </c>
      <c r="BJ152" s="2">
        <v>1.0</v>
      </c>
      <c r="BK152" s="2">
        <v>2.0</v>
      </c>
      <c r="BL152" s="2">
        <v>1.0</v>
      </c>
      <c r="BM152" s="2">
        <v>1.0</v>
      </c>
      <c r="BN152" s="2">
        <v>4.0</v>
      </c>
      <c r="BO152" s="2">
        <v>1.0</v>
      </c>
      <c r="BP152" s="2">
        <v>1.0</v>
      </c>
      <c r="BQ152" s="2" t="s">
        <v>390</v>
      </c>
      <c r="BR152" s="2" t="s">
        <v>396</v>
      </c>
      <c r="BS152" s="2" t="s">
        <v>873</v>
      </c>
      <c r="BT152" s="2" t="s">
        <v>730</v>
      </c>
      <c r="BU152" s="2" t="s">
        <v>33</v>
      </c>
      <c r="BV152" s="2" t="s">
        <v>33</v>
      </c>
      <c r="BW152" s="2" t="s">
        <v>33</v>
      </c>
      <c r="BX152" s="2" t="s">
        <v>33</v>
      </c>
      <c r="BY152" s="2" t="s">
        <v>33</v>
      </c>
      <c r="BZ152" s="2" t="s">
        <v>33</v>
      </c>
      <c r="CA152" s="2" t="s">
        <v>33</v>
      </c>
      <c r="CB152" s="2" t="s">
        <v>33</v>
      </c>
      <c r="CC152" s="2" t="s">
        <v>2093</v>
      </c>
      <c r="CD152" s="2">
        <v>5.0</v>
      </c>
      <c r="CE152" s="2" t="s">
        <v>794</v>
      </c>
      <c r="CF152" s="2" t="s">
        <v>952</v>
      </c>
      <c r="CG152" s="2" t="s">
        <v>1019</v>
      </c>
      <c r="CH152" s="2" t="s">
        <v>999</v>
      </c>
      <c r="CI152" s="2" t="s">
        <v>33</v>
      </c>
      <c r="CJ152" s="2" t="s">
        <v>33</v>
      </c>
      <c r="CK152" s="2" t="s">
        <v>2094</v>
      </c>
      <c r="CL152" s="2" t="s">
        <v>466</v>
      </c>
      <c r="CM152" s="4">
        <v>45677.0</v>
      </c>
      <c r="CN152" s="4">
        <v>45681.0</v>
      </c>
      <c r="CO152" s="2">
        <v>5.0</v>
      </c>
      <c r="CP152" s="2" t="s">
        <v>434</v>
      </c>
      <c r="CQ152" s="2" t="s">
        <v>441</v>
      </c>
      <c r="CR152" s="2" t="s">
        <v>442</v>
      </c>
      <c r="CS152" s="2" t="s">
        <v>434</v>
      </c>
      <c r="CT152" s="2" t="s">
        <v>645</v>
      </c>
      <c r="CU152" s="2" t="s">
        <v>762</v>
      </c>
    </row>
    <row r="153" ht="12.75" customHeight="1">
      <c r="A153" s="2">
        <v>152.0</v>
      </c>
      <c r="B153" s="2">
        <v>2.0</v>
      </c>
      <c r="C153" s="2" t="s">
        <v>358</v>
      </c>
      <c r="D153" s="2" t="s">
        <v>359</v>
      </c>
      <c r="E153" s="2" t="s">
        <v>360</v>
      </c>
      <c r="F153" s="2" t="s">
        <v>437</v>
      </c>
      <c r="G153" s="2" t="s">
        <v>437</v>
      </c>
      <c r="H153" s="2" t="s">
        <v>540</v>
      </c>
      <c r="I153" s="2" t="s">
        <v>33</v>
      </c>
      <c r="J153" s="2" t="s">
        <v>33</v>
      </c>
      <c r="K153" s="2" t="s">
        <v>2095</v>
      </c>
      <c r="L153" s="2" t="s">
        <v>984</v>
      </c>
      <c r="M153" s="2" t="s">
        <v>368</v>
      </c>
      <c r="N153" s="2" t="s">
        <v>441</v>
      </c>
      <c r="O153" s="2" t="s">
        <v>442</v>
      </c>
      <c r="P153" s="2" t="s">
        <v>372</v>
      </c>
      <c r="Q153" s="2" t="s">
        <v>480</v>
      </c>
      <c r="R153" s="2" t="s">
        <v>480</v>
      </c>
      <c r="S153" s="2" t="s">
        <v>378</v>
      </c>
      <c r="T153" s="2" t="s">
        <v>378</v>
      </c>
      <c r="U153" s="2" t="s">
        <v>378</v>
      </c>
      <c r="V153" s="2" t="s">
        <v>378</v>
      </c>
      <c r="W153" s="2" t="s">
        <v>378</v>
      </c>
      <c r="X153" s="2" t="s">
        <v>378</v>
      </c>
      <c r="Y153" s="2" t="s">
        <v>378</v>
      </c>
      <c r="Z153" s="2" t="s">
        <v>378</v>
      </c>
      <c r="AA153" s="2" t="s">
        <v>2096</v>
      </c>
      <c r="AB153" s="2" t="s">
        <v>1112</v>
      </c>
      <c r="AC153" s="2" t="s">
        <v>552</v>
      </c>
      <c r="AD153" s="2" t="s">
        <v>385</v>
      </c>
      <c r="AE153" s="2" t="s">
        <v>1141</v>
      </c>
      <c r="AF153" s="2" t="s">
        <v>1094</v>
      </c>
      <c r="AG153" s="2" t="s">
        <v>388</v>
      </c>
      <c r="AH153" s="2" t="s">
        <v>455</v>
      </c>
      <c r="AI153" s="2" t="s">
        <v>33</v>
      </c>
      <c r="AJ153" s="2" t="s">
        <v>33</v>
      </c>
      <c r="AK153" s="2" t="s">
        <v>33</v>
      </c>
      <c r="AL153" s="2">
        <v>5.0</v>
      </c>
      <c r="AM153" s="2">
        <v>2.0</v>
      </c>
      <c r="AN153" s="2">
        <v>2.0</v>
      </c>
      <c r="AO153" s="2">
        <v>2.0</v>
      </c>
      <c r="AP153" s="2">
        <v>4.0</v>
      </c>
      <c r="AQ153" s="2">
        <v>1.0</v>
      </c>
      <c r="AR153" s="2">
        <v>3.0</v>
      </c>
      <c r="AS153" s="2">
        <v>4.0</v>
      </c>
      <c r="AT153" s="2">
        <v>3.0</v>
      </c>
      <c r="AU153" s="2">
        <v>4.0</v>
      </c>
      <c r="AV153" s="2">
        <v>5.0</v>
      </c>
      <c r="AW153" s="2">
        <v>5.0</v>
      </c>
      <c r="AX153" s="2">
        <v>2.0</v>
      </c>
      <c r="AY153" s="2">
        <v>5.0</v>
      </c>
      <c r="AZ153" s="2">
        <v>5.0</v>
      </c>
      <c r="BA153" s="2">
        <v>5.0</v>
      </c>
      <c r="BB153" s="2">
        <v>1.0</v>
      </c>
      <c r="BC153" s="2">
        <v>5.0</v>
      </c>
      <c r="BD153" s="2">
        <v>5.0</v>
      </c>
      <c r="BE153" s="2">
        <v>5.0</v>
      </c>
      <c r="BF153" s="2">
        <v>2.0</v>
      </c>
      <c r="BG153" s="2">
        <v>1.0</v>
      </c>
      <c r="BH153" s="2">
        <v>1.0</v>
      </c>
      <c r="BI153" s="2">
        <v>3.0</v>
      </c>
      <c r="BJ153" s="2">
        <v>3.0</v>
      </c>
      <c r="BK153" s="2">
        <v>2.0</v>
      </c>
      <c r="BL153" s="2">
        <v>2.0</v>
      </c>
      <c r="BM153" s="2">
        <v>1.0</v>
      </c>
      <c r="BN153" s="2">
        <v>3.0</v>
      </c>
      <c r="BO153" s="2">
        <v>2.0</v>
      </c>
      <c r="BP153" s="2">
        <v>2.0</v>
      </c>
      <c r="BQ153" s="2" t="s">
        <v>568</v>
      </c>
      <c r="BR153" s="2" t="s">
        <v>389</v>
      </c>
      <c r="BS153" s="2" t="s">
        <v>390</v>
      </c>
      <c r="BT153" s="2" t="s">
        <v>391</v>
      </c>
      <c r="BU153" s="2" t="s">
        <v>392</v>
      </c>
      <c r="BV153" s="2" t="s">
        <v>395</v>
      </c>
      <c r="BW153" s="2" t="s">
        <v>394</v>
      </c>
      <c r="BX153" s="2" t="s">
        <v>393</v>
      </c>
      <c r="BY153" s="2" t="s">
        <v>396</v>
      </c>
      <c r="BZ153" s="2" t="s">
        <v>573</v>
      </c>
      <c r="CA153" s="2" t="s">
        <v>730</v>
      </c>
      <c r="CB153" s="2" t="s">
        <v>33</v>
      </c>
      <c r="CC153" s="2" t="s">
        <v>2097</v>
      </c>
      <c r="CD153" s="2">
        <v>4.0</v>
      </c>
      <c r="CE153" s="2" t="s">
        <v>899</v>
      </c>
      <c r="CF153" s="2" t="s">
        <v>998</v>
      </c>
      <c r="CG153" s="2" t="s">
        <v>999</v>
      </c>
      <c r="CH153" s="2" t="s">
        <v>33</v>
      </c>
      <c r="CI153" s="2" t="s">
        <v>33</v>
      </c>
      <c r="CJ153" s="2" t="s">
        <v>33</v>
      </c>
      <c r="CK153" s="2" t="s">
        <v>33</v>
      </c>
      <c r="CL153" s="2" t="s">
        <v>466</v>
      </c>
      <c r="CM153" s="4">
        <v>45677.0</v>
      </c>
      <c r="CN153" s="4">
        <v>45680.0</v>
      </c>
      <c r="CO153" s="2">
        <v>4.0</v>
      </c>
      <c r="CP153" s="2" t="s">
        <v>529</v>
      </c>
      <c r="CQ153" s="2" t="s">
        <v>441</v>
      </c>
      <c r="CR153" s="2" t="s">
        <v>442</v>
      </c>
      <c r="CS153" s="2" t="s">
        <v>529</v>
      </c>
      <c r="CT153" s="2" t="s">
        <v>368</v>
      </c>
      <c r="CU153" s="2" t="s">
        <v>372</v>
      </c>
    </row>
    <row r="154" ht="12.75" customHeight="1">
      <c r="A154" s="2">
        <v>153.0</v>
      </c>
      <c r="B154" s="2">
        <v>2.0</v>
      </c>
      <c r="C154" s="2" t="s">
        <v>358</v>
      </c>
      <c r="D154" s="2" t="s">
        <v>359</v>
      </c>
      <c r="E154" s="2" t="s">
        <v>360</v>
      </c>
      <c r="F154" s="2" t="s">
        <v>437</v>
      </c>
      <c r="G154" s="2" t="s">
        <v>437</v>
      </c>
      <c r="H154" s="2" t="s">
        <v>362</v>
      </c>
      <c r="I154" s="2" t="s">
        <v>2098</v>
      </c>
      <c r="J154" s="2" t="s">
        <v>33</v>
      </c>
      <c r="K154" s="2" t="s">
        <v>2099</v>
      </c>
      <c r="L154" s="2" t="s">
        <v>984</v>
      </c>
      <c r="M154" s="2" t="s">
        <v>368</v>
      </c>
      <c r="N154" s="2" t="s">
        <v>369</v>
      </c>
      <c r="O154" s="2" t="s">
        <v>442</v>
      </c>
      <c r="P154" s="2" t="s">
        <v>372</v>
      </c>
      <c r="Q154" s="2" t="s">
        <v>480</v>
      </c>
      <c r="R154" s="2" t="s">
        <v>480</v>
      </c>
      <c r="S154" s="2" t="s">
        <v>378</v>
      </c>
      <c r="T154" s="2" t="s">
        <v>376</v>
      </c>
      <c r="U154" s="2" t="s">
        <v>378</v>
      </c>
      <c r="V154" s="2" t="s">
        <v>378</v>
      </c>
      <c r="W154" s="2" t="s">
        <v>444</v>
      </c>
      <c r="X154" s="2" t="s">
        <v>444</v>
      </c>
      <c r="Y154" s="2" t="s">
        <v>444</v>
      </c>
      <c r="Z154" s="2" t="s">
        <v>444</v>
      </c>
      <c r="AA154" s="2" t="s">
        <v>864</v>
      </c>
      <c r="AB154" s="2" t="s">
        <v>2100</v>
      </c>
      <c r="AC154" s="2" t="s">
        <v>450</v>
      </c>
      <c r="AD154" s="2" t="s">
        <v>385</v>
      </c>
      <c r="AE154" s="2" t="s">
        <v>1094</v>
      </c>
      <c r="AF154" s="2" t="s">
        <v>388</v>
      </c>
      <c r="AG154" s="2" t="s">
        <v>782</v>
      </c>
      <c r="AH154" s="2" t="s">
        <v>455</v>
      </c>
      <c r="AI154" s="2" t="s">
        <v>33</v>
      </c>
      <c r="AJ154" s="2" t="s">
        <v>33</v>
      </c>
      <c r="AK154" s="2" t="s">
        <v>33</v>
      </c>
      <c r="AL154" s="2">
        <v>4.0</v>
      </c>
      <c r="AM154" s="2">
        <v>5.0</v>
      </c>
      <c r="AN154" s="2">
        <v>3.0</v>
      </c>
      <c r="AO154" s="2">
        <v>4.0</v>
      </c>
      <c r="AP154" s="2">
        <v>4.0</v>
      </c>
      <c r="AQ154" s="2">
        <v>3.0</v>
      </c>
      <c r="AR154" s="2">
        <v>4.0</v>
      </c>
      <c r="AS154" s="2">
        <v>5.0</v>
      </c>
      <c r="AT154" s="2">
        <v>4.0</v>
      </c>
      <c r="AU154" s="2">
        <v>4.0</v>
      </c>
      <c r="AV154" s="2">
        <v>4.0</v>
      </c>
      <c r="AW154" s="2">
        <v>4.0</v>
      </c>
      <c r="AX154" s="2">
        <v>1.0</v>
      </c>
      <c r="AY154" s="2">
        <v>4.0</v>
      </c>
      <c r="AZ154" s="2">
        <v>2.0</v>
      </c>
      <c r="BA154" s="2">
        <v>4.0</v>
      </c>
      <c r="BB154" s="2">
        <v>2.0</v>
      </c>
      <c r="BC154" s="2">
        <v>1.0</v>
      </c>
      <c r="BD154" s="2">
        <v>3.0</v>
      </c>
      <c r="BE154" s="2">
        <v>3.0</v>
      </c>
      <c r="BF154" s="2">
        <v>1.0</v>
      </c>
      <c r="BG154" s="2">
        <v>1.0</v>
      </c>
      <c r="BH154" s="2">
        <v>1.0</v>
      </c>
      <c r="BI154" s="2">
        <v>1.0</v>
      </c>
      <c r="BJ154" s="2">
        <v>1.0</v>
      </c>
      <c r="BK154" s="2">
        <v>1.0</v>
      </c>
      <c r="BL154" s="2">
        <v>1.0</v>
      </c>
      <c r="BM154" s="2">
        <v>1.0</v>
      </c>
      <c r="BN154" s="2">
        <v>5.0</v>
      </c>
      <c r="BO154" s="2">
        <v>1.0</v>
      </c>
      <c r="BP154" s="2">
        <v>1.0</v>
      </c>
      <c r="BQ154" s="2" t="s">
        <v>389</v>
      </c>
      <c r="BR154" s="2" t="s">
        <v>390</v>
      </c>
      <c r="BS154" s="2" t="s">
        <v>391</v>
      </c>
      <c r="BT154" s="2" t="s">
        <v>395</v>
      </c>
      <c r="BU154" s="2" t="s">
        <v>394</v>
      </c>
      <c r="BV154" s="2" t="s">
        <v>393</v>
      </c>
      <c r="BW154" s="2" t="s">
        <v>396</v>
      </c>
      <c r="BX154" s="2" t="s">
        <v>573</v>
      </c>
      <c r="BY154" s="2" t="s">
        <v>394</v>
      </c>
      <c r="BZ154" s="2" t="s">
        <v>33</v>
      </c>
      <c r="CA154" s="2" t="s">
        <v>33</v>
      </c>
      <c r="CB154" s="2" t="s">
        <v>33</v>
      </c>
      <c r="CC154" s="3" t="s">
        <v>2101</v>
      </c>
      <c r="CD154" s="2">
        <v>4.0</v>
      </c>
      <c r="CE154" s="2" t="s">
        <v>794</v>
      </c>
      <c r="CF154" s="2" t="s">
        <v>952</v>
      </c>
      <c r="CG154" s="2" t="s">
        <v>998</v>
      </c>
      <c r="CH154" s="2" t="s">
        <v>33</v>
      </c>
      <c r="CI154" s="2" t="s">
        <v>33</v>
      </c>
      <c r="CJ154" s="2" t="s">
        <v>33</v>
      </c>
      <c r="CK154" s="2" t="s">
        <v>2102</v>
      </c>
      <c r="CL154" s="2" t="s">
        <v>466</v>
      </c>
      <c r="CM154" s="2" t="s">
        <v>33</v>
      </c>
      <c r="CN154" s="2" t="s">
        <v>33</v>
      </c>
      <c r="CO154" s="2" t="s">
        <v>33</v>
      </c>
      <c r="CP154" s="2" t="s">
        <v>529</v>
      </c>
      <c r="CQ154" s="2" t="s">
        <v>369</v>
      </c>
      <c r="CR154" s="2" t="s">
        <v>442</v>
      </c>
      <c r="CS154" s="2" t="s">
        <v>529</v>
      </c>
      <c r="CT154" s="2" t="s">
        <v>368</v>
      </c>
      <c r="CU154" s="2" t="s">
        <v>372</v>
      </c>
    </row>
    <row r="155" ht="12.75" customHeight="1">
      <c r="A155" s="2">
        <v>154.0</v>
      </c>
      <c r="B155" s="2">
        <v>1.0</v>
      </c>
      <c r="C155" s="2" t="s">
        <v>358</v>
      </c>
      <c r="D155" s="2" t="s">
        <v>359</v>
      </c>
      <c r="E155" s="2" t="s">
        <v>801</v>
      </c>
      <c r="F155" s="2" t="s">
        <v>437</v>
      </c>
      <c r="G155" s="2" t="s">
        <v>437</v>
      </c>
      <c r="H155" s="2" t="s">
        <v>362</v>
      </c>
      <c r="I155" s="2" t="s">
        <v>2103</v>
      </c>
      <c r="J155" s="2" t="s">
        <v>33</v>
      </c>
      <c r="K155" s="2" t="s">
        <v>1975</v>
      </c>
      <c r="L155" s="2" t="s">
        <v>984</v>
      </c>
      <c r="M155" s="2" t="s">
        <v>368</v>
      </c>
      <c r="N155" s="2" t="s">
        <v>441</v>
      </c>
      <c r="O155" s="2" t="s">
        <v>442</v>
      </c>
      <c r="P155" s="2" t="s">
        <v>762</v>
      </c>
      <c r="Q155" s="2" t="s">
        <v>480</v>
      </c>
      <c r="R155" s="2" t="s">
        <v>480</v>
      </c>
      <c r="S155" s="2" t="s">
        <v>378</v>
      </c>
      <c r="T155" s="2" t="s">
        <v>376</v>
      </c>
      <c r="U155" s="2" t="s">
        <v>376</v>
      </c>
      <c r="V155" s="2" t="s">
        <v>376</v>
      </c>
      <c r="W155" s="2" t="s">
        <v>378</v>
      </c>
      <c r="X155" s="2" t="s">
        <v>378</v>
      </c>
      <c r="Y155" s="2" t="s">
        <v>378</v>
      </c>
      <c r="Z155" s="2" t="s">
        <v>444</v>
      </c>
      <c r="AA155" s="2" t="s">
        <v>986</v>
      </c>
      <c r="AB155" s="2" t="s">
        <v>651</v>
      </c>
      <c r="AC155" s="2" t="s">
        <v>450</v>
      </c>
      <c r="AD155" s="2" t="s">
        <v>1094</v>
      </c>
      <c r="AE155" s="2" t="s">
        <v>388</v>
      </c>
      <c r="AF155" s="2" t="s">
        <v>455</v>
      </c>
      <c r="AG155" s="2" t="s">
        <v>33</v>
      </c>
      <c r="AH155" s="2" t="s">
        <v>33</v>
      </c>
      <c r="AI155" s="2" t="s">
        <v>33</v>
      </c>
      <c r="AJ155" s="2" t="s">
        <v>33</v>
      </c>
      <c r="AK155" s="2" t="s">
        <v>33</v>
      </c>
      <c r="AL155" s="2">
        <v>2.0</v>
      </c>
      <c r="AM155" s="2">
        <v>4.0</v>
      </c>
      <c r="AN155" s="2">
        <v>2.0</v>
      </c>
      <c r="AO155" s="2">
        <v>2.0</v>
      </c>
      <c r="AP155" s="2">
        <v>2.0</v>
      </c>
      <c r="AQ155" s="2">
        <v>4.0</v>
      </c>
      <c r="AR155" s="2">
        <v>5.0</v>
      </c>
      <c r="AS155" s="2">
        <v>2.0</v>
      </c>
      <c r="AT155" s="2">
        <v>2.0</v>
      </c>
      <c r="AU155" s="2">
        <v>2.0</v>
      </c>
      <c r="AV155" s="2">
        <v>2.0</v>
      </c>
      <c r="AW155" s="2">
        <v>2.0</v>
      </c>
      <c r="AX155" s="2">
        <v>2.0</v>
      </c>
      <c r="AY155" s="2">
        <v>2.0</v>
      </c>
      <c r="AZ155" s="2">
        <v>2.0</v>
      </c>
      <c r="BA155" s="2">
        <v>3.0</v>
      </c>
      <c r="BB155" s="2">
        <v>2.0</v>
      </c>
      <c r="BC155" s="2">
        <v>3.0</v>
      </c>
      <c r="BD155" s="2">
        <v>3.0</v>
      </c>
      <c r="BE155" s="2">
        <v>5.0</v>
      </c>
      <c r="BF155" s="2">
        <v>1.0</v>
      </c>
      <c r="BG155" s="2">
        <v>1.0</v>
      </c>
      <c r="BH155" s="2">
        <v>1.0</v>
      </c>
      <c r="BI155" s="2">
        <v>1.0</v>
      </c>
      <c r="BJ155" s="2">
        <v>1.0</v>
      </c>
      <c r="BK155" s="2">
        <v>1.0</v>
      </c>
      <c r="BL155" s="2">
        <v>1.0</v>
      </c>
      <c r="BM155" s="2">
        <v>1.0</v>
      </c>
      <c r="BN155" s="2">
        <v>4.0</v>
      </c>
      <c r="BO155" s="2">
        <v>1.0</v>
      </c>
      <c r="BP155" s="2">
        <v>1.0</v>
      </c>
      <c r="BQ155" s="2" t="s">
        <v>390</v>
      </c>
      <c r="BR155" s="2" t="s">
        <v>391</v>
      </c>
      <c r="BS155" s="2" t="s">
        <v>392</v>
      </c>
      <c r="BT155" s="2" t="s">
        <v>395</v>
      </c>
      <c r="BU155" s="2" t="s">
        <v>394</v>
      </c>
      <c r="BV155" s="2" t="s">
        <v>393</v>
      </c>
      <c r="BW155" s="2" t="s">
        <v>396</v>
      </c>
      <c r="BX155" s="2" t="s">
        <v>33</v>
      </c>
      <c r="BY155" s="2" t="s">
        <v>33</v>
      </c>
      <c r="BZ155" s="2" t="s">
        <v>33</v>
      </c>
      <c r="CA155" s="2" t="s">
        <v>33</v>
      </c>
      <c r="CB155" s="2" t="s">
        <v>33</v>
      </c>
      <c r="CC155" s="2" t="s">
        <v>2104</v>
      </c>
      <c r="CD155" s="2">
        <v>3.0</v>
      </c>
      <c r="CE155" s="2" t="s">
        <v>899</v>
      </c>
      <c r="CF155" s="2" t="s">
        <v>1957</v>
      </c>
      <c r="CG155" s="2" t="s">
        <v>33</v>
      </c>
      <c r="CH155" s="2" t="s">
        <v>33</v>
      </c>
      <c r="CI155" s="2" t="s">
        <v>33</v>
      </c>
      <c r="CJ155" s="2" t="s">
        <v>33</v>
      </c>
      <c r="CK155" s="2" t="s">
        <v>2105</v>
      </c>
      <c r="CL155" s="2" t="s">
        <v>466</v>
      </c>
      <c r="CM155" s="4">
        <v>45699.0</v>
      </c>
      <c r="CN155" s="4">
        <v>45702.0</v>
      </c>
      <c r="CO155" s="2">
        <v>4.0</v>
      </c>
      <c r="CP155" s="2" t="s">
        <v>529</v>
      </c>
      <c r="CQ155" s="2" t="s">
        <v>441</v>
      </c>
      <c r="CR155" s="2" t="s">
        <v>442</v>
      </c>
      <c r="CS155" s="2" t="s">
        <v>529</v>
      </c>
      <c r="CT155" s="2" t="s">
        <v>368</v>
      </c>
      <c r="CU155" s="2" t="s">
        <v>762</v>
      </c>
    </row>
    <row r="156" ht="12.75" customHeight="1">
      <c r="A156" s="2">
        <v>155.0</v>
      </c>
      <c r="B156" s="2">
        <v>2.0</v>
      </c>
      <c r="C156" s="2" t="s">
        <v>358</v>
      </c>
      <c r="D156" s="2" t="s">
        <v>359</v>
      </c>
      <c r="E156" s="2" t="s">
        <v>360</v>
      </c>
      <c r="F156" s="2" t="s">
        <v>437</v>
      </c>
      <c r="G156" s="2" t="s">
        <v>437</v>
      </c>
      <c r="H156" s="2" t="s">
        <v>540</v>
      </c>
      <c r="I156" s="2" t="s">
        <v>2106</v>
      </c>
      <c r="J156" s="2" t="s">
        <v>33</v>
      </c>
      <c r="K156" s="2" t="s">
        <v>2107</v>
      </c>
      <c r="L156" s="2" t="s">
        <v>984</v>
      </c>
      <c r="M156" s="2" t="s">
        <v>368</v>
      </c>
      <c r="N156" s="2" t="s">
        <v>441</v>
      </c>
      <c r="O156" s="2" t="s">
        <v>442</v>
      </c>
      <c r="P156" s="2" t="s">
        <v>762</v>
      </c>
      <c r="Q156" s="2" t="s">
        <v>480</v>
      </c>
      <c r="R156" s="2" t="s">
        <v>480</v>
      </c>
      <c r="S156" s="2" t="s">
        <v>444</v>
      </c>
      <c r="T156" s="2" t="s">
        <v>378</v>
      </c>
      <c r="U156" s="2" t="s">
        <v>378</v>
      </c>
      <c r="V156" s="2" t="s">
        <v>378</v>
      </c>
      <c r="W156" s="2" t="s">
        <v>444</v>
      </c>
      <c r="X156" s="2" t="s">
        <v>378</v>
      </c>
      <c r="Y156" s="2" t="s">
        <v>378</v>
      </c>
      <c r="Z156" s="2" t="s">
        <v>444</v>
      </c>
      <c r="AA156" s="2" t="s">
        <v>1031</v>
      </c>
      <c r="AB156" s="2" t="s">
        <v>1112</v>
      </c>
      <c r="AC156" s="2" t="s">
        <v>385</v>
      </c>
      <c r="AD156" s="2" t="s">
        <v>1141</v>
      </c>
      <c r="AE156" s="2" t="s">
        <v>1094</v>
      </c>
      <c r="AF156" s="2" t="s">
        <v>388</v>
      </c>
      <c r="AG156" s="2" t="s">
        <v>454</v>
      </c>
      <c r="AH156" s="2" t="s">
        <v>33</v>
      </c>
      <c r="AI156" s="2" t="s">
        <v>33</v>
      </c>
      <c r="AJ156" s="2" t="s">
        <v>33</v>
      </c>
      <c r="AK156" s="2" t="s">
        <v>33</v>
      </c>
      <c r="AL156" s="2">
        <v>2.0</v>
      </c>
      <c r="AM156" s="2">
        <v>4.0</v>
      </c>
      <c r="AN156" s="2">
        <v>2.0</v>
      </c>
      <c r="AO156" s="2">
        <v>2.0</v>
      </c>
      <c r="AP156" s="2">
        <v>4.0</v>
      </c>
      <c r="AQ156" s="2">
        <v>2.0</v>
      </c>
      <c r="AR156" s="2">
        <v>5.0</v>
      </c>
      <c r="AS156" s="2">
        <v>5.0</v>
      </c>
      <c r="AT156" s="2">
        <v>4.0</v>
      </c>
      <c r="AU156" s="2">
        <v>3.0</v>
      </c>
      <c r="AV156" s="2">
        <v>4.0</v>
      </c>
      <c r="AW156" s="2">
        <v>4.0</v>
      </c>
      <c r="AX156" s="2">
        <v>4.0</v>
      </c>
      <c r="AY156" s="2">
        <v>4.0</v>
      </c>
      <c r="AZ156" s="2">
        <v>5.0</v>
      </c>
      <c r="BA156" s="2">
        <v>4.0</v>
      </c>
      <c r="BB156" s="2">
        <v>1.0</v>
      </c>
      <c r="BC156" s="2">
        <v>3.0</v>
      </c>
      <c r="BD156" s="2">
        <v>4.0</v>
      </c>
      <c r="BE156" s="2">
        <v>5.0</v>
      </c>
      <c r="BF156" s="2">
        <v>1.0</v>
      </c>
      <c r="BG156" s="2">
        <v>1.0</v>
      </c>
      <c r="BH156" s="2">
        <v>1.0</v>
      </c>
      <c r="BI156" s="2">
        <v>1.0</v>
      </c>
      <c r="BJ156" s="2">
        <v>1.0</v>
      </c>
      <c r="BK156" s="2">
        <v>2.0</v>
      </c>
      <c r="BL156" s="2">
        <v>1.0</v>
      </c>
      <c r="BM156" s="2">
        <v>1.0</v>
      </c>
      <c r="BN156" s="2">
        <v>5.0</v>
      </c>
      <c r="BO156" s="2">
        <v>2.0</v>
      </c>
      <c r="BP156" s="2">
        <v>2.0</v>
      </c>
      <c r="BQ156" s="2" t="s">
        <v>390</v>
      </c>
      <c r="BR156" s="2" t="s">
        <v>391</v>
      </c>
      <c r="BS156" s="2" t="s">
        <v>392</v>
      </c>
      <c r="BT156" s="2" t="s">
        <v>394</v>
      </c>
      <c r="BU156" s="2" t="s">
        <v>396</v>
      </c>
      <c r="BV156" s="2" t="s">
        <v>730</v>
      </c>
      <c r="BW156" s="2" t="s">
        <v>33</v>
      </c>
      <c r="BX156" s="2" t="s">
        <v>33</v>
      </c>
      <c r="BY156" s="2" t="s">
        <v>33</v>
      </c>
      <c r="BZ156" s="2" t="s">
        <v>33</v>
      </c>
      <c r="CA156" s="2" t="s">
        <v>33</v>
      </c>
      <c r="CB156" s="2" t="s">
        <v>33</v>
      </c>
      <c r="CC156" s="2" t="s">
        <v>2108</v>
      </c>
      <c r="CD156" s="2">
        <v>7.0</v>
      </c>
      <c r="CE156" s="2" t="s">
        <v>33</v>
      </c>
      <c r="CF156" s="2" t="s">
        <v>33</v>
      </c>
      <c r="CG156" s="2" t="s">
        <v>33</v>
      </c>
      <c r="CH156" s="2" t="s">
        <v>33</v>
      </c>
      <c r="CI156" s="2" t="s">
        <v>33</v>
      </c>
      <c r="CJ156" s="2" t="s">
        <v>999</v>
      </c>
      <c r="CK156" s="2" t="s">
        <v>2109</v>
      </c>
      <c r="CL156" s="2" t="s">
        <v>466</v>
      </c>
      <c r="CM156" s="2" t="s">
        <v>33</v>
      </c>
      <c r="CN156" s="2" t="s">
        <v>33</v>
      </c>
      <c r="CO156" s="2" t="s">
        <v>33</v>
      </c>
      <c r="CP156" s="2" t="s">
        <v>529</v>
      </c>
      <c r="CQ156" s="2" t="s">
        <v>441</v>
      </c>
      <c r="CR156" s="2" t="s">
        <v>442</v>
      </c>
      <c r="CS156" s="2" t="s">
        <v>529</v>
      </c>
      <c r="CT156" s="2" t="s">
        <v>368</v>
      </c>
      <c r="CU156" s="2" t="s">
        <v>762</v>
      </c>
    </row>
    <row r="157" ht="12.75" customHeight="1">
      <c r="A157" s="2">
        <v>156.0</v>
      </c>
      <c r="B157" s="2">
        <v>2.0</v>
      </c>
      <c r="C157" s="2" t="s">
        <v>358</v>
      </c>
      <c r="D157" s="2" t="s">
        <v>359</v>
      </c>
      <c r="E157" s="2" t="s">
        <v>360</v>
      </c>
      <c r="F157" s="2" t="s">
        <v>437</v>
      </c>
      <c r="G157" s="2" t="s">
        <v>437</v>
      </c>
      <c r="H157" s="2" t="s">
        <v>362</v>
      </c>
      <c r="I157" s="2" t="s">
        <v>2103</v>
      </c>
      <c r="J157" s="2" t="s">
        <v>33</v>
      </c>
      <c r="K157" s="2" t="s">
        <v>1975</v>
      </c>
      <c r="L157" s="2" t="s">
        <v>984</v>
      </c>
      <c r="M157" s="2" t="s">
        <v>368</v>
      </c>
      <c r="N157" s="2" t="s">
        <v>441</v>
      </c>
      <c r="O157" s="2" t="s">
        <v>442</v>
      </c>
      <c r="P157" s="2" t="s">
        <v>762</v>
      </c>
      <c r="Q157" s="2" t="s">
        <v>480</v>
      </c>
      <c r="R157" s="2" t="s">
        <v>480</v>
      </c>
      <c r="S157" s="2" t="s">
        <v>378</v>
      </c>
      <c r="T157" s="2" t="s">
        <v>378</v>
      </c>
      <c r="U157" s="2" t="s">
        <v>378</v>
      </c>
      <c r="V157" s="2" t="s">
        <v>378</v>
      </c>
      <c r="W157" s="2" t="s">
        <v>378</v>
      </c>
      <c r="X157" s="2" t="s">
        <v>378</v>
      </c>
      <c r="Y157" s="2" t="s">
        <v>444</v>
      </c>
      <c r="Z157" s="2" t="s">
        <v>444</v>
      </c>
      <c r="AA157" s="2" t="s">
        <v>1031</v>
      </c>
      <c r="AB157" s="2" t="s">
        <v>359</v>
      </c>
      <c r="AC157" s="2" t="s">
        <v>450</v>
      </c>
      <c r="AD157" s="2" t="s">
        <v>552</v>
      </c>
      <c r="AE157" s="2" t="s">
        <v>385</v>
      </c>
      <c r="AF157" s="2" t="s">
        <v>1141</v>
      </c>
      <c r="AG157" s="2" t="s">
        <v>1094</v>
      </c>
      <c r="AH157" s="2" t="s">
        <v>388</v>
      </c>
      <c r="AI157" s="2" t="s">
        <v>782</v>
      </c>
      <c r="AJ157" s="2" t="s">
        <v>454</v>
      </c>
      <c r="AK157" s="2" t="s">
        <v>454</v>
      </c>
      <c r="AL157" s="2">
        <v>5.0</v>
      </c>
      <c r="AM157" s="2">
        <v>4.0</v>
      </c>
      <c r="AN157" s="2">
        <v>4.0</v>
      </c>
      <c r="AO157" s="2">
        <v>2.0</v>
      </c>
      <c r="AP157" s="2">
        <v>4.0</v>
      </c>
      <c r="AQ157" s="2">
        <v>2.0</v>
      </c>
      <c r="AR157" s="2">
        <v>5.0</v>
      </c>
      <c r="AS157" s="2">
        <v>2.0</v>
      </c>
      <c r="AT157" s="2">
        <v>2.0</v>
      </c>
      <c r="AU157" s="2">
        <v>4.0</v>
      </c>
      <c r="AV157" s="2">
        <v>4.0</v>
      </c>
      <c r="AW157" s="2">
        <v>2.0</v>
      </c>
      <c r="AX157" s="2">
        <v>4.0</v>
      </c>
      <c r="AY157" s="2">
        <v>3.0</v>
      </c>
      <c r="AZ157" s="2">
        <v>4.0</v>
      </c>
      <c r="BA157" s="2">
        <v>3.0</v>
      </c>
      <c r="BB157" s="2">
        <v>3.0</v>
      </c>
      <c r="BC157" s="2">
        <v>4.0</v>
      </c>
      <c r="BD157" s="2">
        <v>3.0</v>
      </c>
      <c r="BE157" s="2">
        <v>5.0</v>
      </c>
      <c r="BF157" s="2">
        <v>2.0</v>
      </c>
      <c r="BG157" s="2">
        <v>2.0</v>
      </c>
      <c r="BH157" s="2">
        <v>1.0</v>
      </c>
      <c r="BI157" s="2">
        <v>1.0</v>
      </c>
      <c r="BJ157" s="2">
        <v>1.0</v>
      </c>
      <c r="BK157" s="2">
        <v>2.0</v>
      </c>
      <c r="BL157" s="2">
        <v>1.0</v>
      </c>
      <c r="BM157" s="2">
        <v>1.0</v>
      </c>
      <c r="BN157" s="2">
        <v>5.0</v>
      </c>
      <c r="BO157" s="2">
        <v>1.0</v>
      </c>
      <c r="BP157" s="2">
        <v>1.0</v>
      </c>
      <c r="BQ157" s="2" t="s">
        <v>389</v>
      </c>
      <c r="BR157" s="2" t="s">
        <v>390</v>
      </c>
      <c r="BS157" s="2" t="s">
        <v>391</v>
      </c>
      <c r="BT157" s="2" t="s">
        <v>392</v>
      </c>
      <c r="BU157" s="2" t="s">
        <v>395</v>
      </c>
      <c r="BV157" s="2" t="s">
        <v>394</v>
      </c>
      <c r="BW157" s="2" t="s">
        <v>393</v>
      </c>
      <c r="BX157" s="2" t="s">
        <v>396</v>
      </c>
      <c r="BY157" s="2" t="s">
        <v>33</v>
      </c>
      <c r="BZ157" s="2" t="s">
        <v>33</v>
      </c>
      <c r="CA157" s="2" t="s">
        <v>33</v>
      </c>
      <c r="CB157" s="2" t="s">
        <v>33</v>
      </c>
      <c r="CC157" s="2" t="s">
        <v>2110</v>
      </c>
      <c r="CD157" s="2">
        <v>2.0</v>
      </c>
      <c r="CE157" s="2" t="s">
        <v>998</v>
      </c>
      <c r="CF157" s="2" t="s">
        <v>33</v>
      </c>
      <c r="CG157" s="2" t="s">
        <v>33</v>
      </c>
      <c r="CH157" s="2" t="s">
        <v>33</v>
      </c>
      <c r="CI157" s="2" t="s">
        <v>33</v>
      </c>
      <c r="CJ157" s="2" t="s">
        <v>33</v>
      </c>
      <c r="CK157" s="2" t="s">
        <v>2105</v>
      </c>
      <c r="CL157" s="2" t="s">
        <v>466</v>
      </c>
      <c r="CM157" s="2" t="s">
        <v>33</v>
      </c>
      <c r="CN157" s="2" t="s">
        <v>33</v>
      </c>
      <c r="CO157" s="2" t="s">
        <v>33</v>
      </c>
      <c r="CP157" s="2" t="s">
        <v>529</v>
      </c>
      <c r="CQ157" s="2" t="s">
        <v>441</v>
      </c>
      <c r="CR157" s="2" t="s">
        <v>442</v>
      </c>
      <c r="CS157" s="2" t="s">
        <v>529</v>
      </c>
      <c r="CT157" s="2" t="s">
        <v>368</v>
      </c>
      <c r="CU157" s="2" t="s">
        <v>762</v>
      </c>
    </row>
    <row r="158" ht="12.75" customHeight="1">
      <c r="A158" s="2">
        <v>157.0</v>
      </c>
      <c r="B158" s="2">
        <v>3.0</v>
      </c>
      <c r="C158" s="2" t="s">
        <v>358</v>
      </c>
      <c r="D158" s="2" t="s">
        <v>359</v>
      </c>
      <c r="E158" s="2" t="s">
        <v>360</v>
      </c>
      <c r="F158" s="2" t="s">
        <v>437</v>
      </c>
      <c r="G158" s="2" t="s">
        <v>437</v>
      </c>
      <c r="H158" s="2" t="s">
        <v>1948</v>
      </c>
      <c r="I158" s="2" t="s">
        <v>2111</v>
      </c>
      <c r="J158" s="2" t="s">
        <v>33</v>
      </c>
      <c r="K158" s="2" t="s">
        <v>2099</v>
      </c>
      <c r="L158" s="2" t="s">
        <v>984</v>
      </c>
      <c r="M158" s="2" t="s">
        <v>368</v>
      </c>
      <c r="N158" s="2" t="s">
        <v>1025</v>
      </c>
      <c r="O158" s="2" t="s">
        <v>442</v>
      </c>
      <c r="P158" s="2" t="s">
        <v>762</v>
      </c>
      <c r="Q158" s="2" t="s">
        <v>480</v>
      </c>
      <c r="R158" s="2" t="s">
        <v>480</v>
      </c>
      <c r="S158" s="2" t="s">
        <v>378</v>
      </c>
      <c r="T158" s="2" t="s">
        <v>376</v>
      </c>
      <c r="U158" s="2" t="s">
        <v>378</v>
      </c>
      <c r="V158" s="2" t="s">
        <v>376</v>
      </c>
      <c r="W158" s="2" t="s">
        <v>378</v>
      </c>
      <c r="X158" s="2" t="s">
        <v>444</v>
      </c>
      <c r="Y158" s="2" t="s">
        <v>378</v>
      </c>
      <c r="Z158" s="2" t="s">
        <v>444</v>
      </c>
      <c r="AA158" s="2" t="s">
        <v>1031</v>
      </c>
      <c r="AB158" s="2" t="s">
        <v>1474</v>
      </c>
      <c r="AC158" s="2" t="s">
        <v>1141</v>
      </c>
      <c r="AD158" s="2" t="s">
        <v>1094</v>
      </c>
      <c r="AE158" s="2" t="s">
        <v>388</v>
      </c>
      <c r="AF158" s="2" t="s">
        <v>454</v>
      </c>
      <c r="AG158" s="2" t="s">
        <v>455</v>
      </c>
      <c r="AH158" s="2" t="s">
        <v>33</v>
      </c>
      <c r="AI158" s="2" t="s">
        <v>33</v>
      </c>
      <c r="AJ158" s="2" t="s">
        <v>33</v>
      </c>
      <c r="AK158" s="2" t="s">
        <v>33</v>
      </c>
      <c r="AL158" s="2">
        <v>4.0</v>
      </c>
      <c r="AM158" s="2">
        <v>3.0</v>
      </c>
      <c r="AN158" s="2">
        <v>1.0</v>
      </c>
      <c r="AO158" s="2">
        <v>2.0</v>
      </c>
      <c r="AP158" s="2">
        <v>3.0</v>
      </c>
      <c r="AQ158" s="2">
        <v>1.0</v>
      </c>
      <c r="AR158" s="2">
        <v>2.0</v>
      </c>
      <c r="AS158" s="2">
        <v>4.0</v>
      </c>
      <c r="AT158" s="2">
        <v>3.0</v>
      </c>
      <c r="AU158" s="2">
        <v>3.0</v>
      </c>
      <c r="AV158" s="2">
        <v>3.0</v>
      </c>
      <c r="AW158" s="2">
        <v>3.0</v>
      </c>
      <c r="AX158" s="2">
        <v>1.0</v>
      </c>
      <c r="AY158" s="2">
        <v>3.0</v>
      </c>
      <c r="AZ158" s="2">
        <v>1.0</v>
      </c>
      <c r="BA158" s="2">
        <v>3.0</v>
      </c>
      <c r="BB158" s="2">
        <v>2.0</v>
      </c>
      <c r="BC158" s="2">
        <v>1.0</v>
      </c>
      <c r="BD158" s="2">
        <v>1.0</v>
      </c>
      <c r="BE158" s="2">
        <v>4.0</v>
      </c>
      <c r="BF158" s="2">
        <v>1.0</v>
      </c>
      <c r="BG158" s="2">
        <v>1.0</v>
      </c>
      <c r="BH158" s="2">
        <v>1.0</v>
      </c>
      <c r="BI158" s="2">
        <v>2.0</v>
      </c>
      <c r="BJ158" s="2">
        <v>1.0</v>
      </c>
      <c r="BK158" s="2">
        <v>1.0</v>
      </c>
      <c r="BL158" s="2">
        <v>1.0</v>
      </c>
      <c r="BM158" s="2">
        <v>1.0</v>
      </c>
      <c r="BN158" s="2">
        <v>1.0</v>
      </c>
      <c r="BO158" s="2">
        <v>2.0</v>
      </c>
      <c r="BP158" s="2">
        <v>2.0</v>
      </c>
      <c r="BQ158" s="2" t="s">
        <v>390</v>
      </c>
      <c r="BR158" s="2" t="s">
        <v>391</v>
      </c>
      <c r="BS158" s="2" t="s">
        <v>392</v>
      </c>
      <c r="BT158" s="2" t="s">
        <v>394</v>
      </c>
      <c r="BU158" s="2" t="s">
        <v>396</v>
      </c>
      <c r="BV158" s="2" t="s">
        <v>730</v>
      </c>
      <c r="BW158" s="2" t="s">
        <v>33</v>
      </c>
      <c r="BX158" s="2" t="s">
        <v>33</v>
      </c>
      <c r="BY158" s="2" t="s">
        <v>33</v>
      </c>
      <c r="BZ158" s="2" t="s">
        <v>33</v>
      </c>
      <c r="CA158" s="2" t="s">
        <v>33</v>
      </c>
      <c r="CB158" s="2" t="s">
        <v>33</v>
      </c>
      <c r="CC158" s="3" t="s">
        <v>2112</v>
      </c>
      <c r="CD158" s="2">
        <v>3.0</v>
      </c>
      <c r="CE158" s="2" t="s">
        <v>794</v>
      </c>
      <c r="CF158" s="2" t="s">
        <v>1019</v>
      </c>
      <c r="CG158" s="2" t="s">
        <v>33</v>
      </c>
      <c r="CH158" s="2" t="s">
        <v>33</v>
      </c>
      <c r="CI158" s="2" t="s">
        <v>33</v>
      </c>
      <c r="CJ158" s="2" t="s">
        <v>33</v>
      </c>
      <c r="CK158" s="2" t="s">
        <v>2113</v>
      </c>
      <c r="CL158" s="2" t="s">
        <v>466</v>
      </c>
      <c r="CM158" s="2" t="s">
        <v>33</v>
      </c>
      <c r="CN158" s="2" t="s">
        <v>33</v>
      </c>
      <c r="CO158" s="2" t="s">
        <v>33</v>
      </c>
      <c r="CP158" s="2" t="s">
        <v>529</v>
      </c>
      <c r="CQ158" s="2" t="s">
        <v>1025</v>
      </c>
      <c r="CR158" s="2" t="s">
        <v>442</v>
      </c>
      <c r="CS158" s="2" t="s">
        <v>529</v>
      </c>
      <c r="CT158" s="2" t="s">
        <v>368</v>
      </c>
      <c r="CU158" s="2" t="s">
        <v>762</v>
      </c>
    </row>
    <row r="159" ht="12.75" customHeight="1">
      <c r="A159" s="2">
        <v>158.0</v>
      </c>
      <c r="B159" s="2">
        <v>1.0</v>
      </c>
      <c r="C159" s="2" t="s">
        <v>358</v>
      </c>
      <c r="D159" s="2" t="s">
        <v>359</v>
      </c>
      <c r="E159" s="2" t="s">
        <v>978</v>
      </c>
      <c r="F159" s="2" t="s">
        <v>437</v>
      </c>
      <c r="G159" s="2" t="s">
        <v>437</v>
      </c>
      <c r="H159" s="2" t="s">
        <v>362</v>
      </c>
      <c r="I159" s="2" t="s">
        <v>2114</v>
      </c>
      <c r="J159" s="2" t="s">
        <v>33</v>
      </c>
      <c r="K159" s="2" t="s">
        <v>1975</v>
      </c>
      <c r="L159" s="2" t="s">
        <v>984</v>
      </c>
      <c r="M159" s="2" t="s">
        <v>645</v>
      </c>
      <c r="N159" s="2" t="s">
        <v>369</v>
      </c>
      <c r="O159" s="2" t="s">
        <v>442</v>
      </c>
      <c r="P159" s="2" t="s">
        <v>372</v>
      </c>
      <c r="Q159" s="2" t="s">
        <v>480</v>
      </c>
      <c r="R159" s="2" t="s">
        <v>480</v>
      </c>
      <c r="S159" s="2" t="s">
        <v>378</v>
      </c>
      <c r="T159" s="2" t="s">
        <v>378</v>
      </c>
      <c r="U159" s="2" t="s">
        <v>378</v>
      </c>
      <c r="V159" s="2" t="s">
        <v>378</v>
      </c>
      <c r="W159" s="2" t="s">
        <v>444</v>
      </c>
      <c r="X159" s="2" t="s">
        <v>444</v>
      </c>
      <c r="Y159" s="2" t="s">
        <v>378</v>
      </c>
      <c r="Z159" s="2" t="s">
        <v>444</v>
      </c>
      <c r="AA159" s="2" t="s">
        <v>1031</v>
      </c>
      <c r="AB159" s="2" t="s">
        <v>551</v>
      </c>
      <c r="AC159" s="2" t="s">
        <v>552</v>
      </c>
      <c r="AD159" s="2" t="s">
        <v>385</v>
      </c>
      <c r="AE159" s="2" t="s">
        <v>1141</v>
      </c>
      <c r="AF159" s="2" t="s">
        <v>387</v>
      </c>
      <c r="AG159" s="2" t="s">
        <v>388</v>
      </c>
      <c r="AH159" s="2" t="s">
        <v>455</v>
      </c>
      <c r="AI159" s="2" t="s">
        <v>33</v>
      </c>
      <c r="AJ159" s="2" t="s">
        <v>33</v>
      </c>
      <c r="AK159" s="2" t="s">
        <v>33</v>
      </c>
      <c r="AL159" s="2">
        <v>1.0</v>
      </c>
      <c r="AM159" s="2">
        <v>4.0</v>
      </c>
      <c r="AN159" s="2">
        <v>2.0</v>
      </c>
      <c r="AO159" s="2">
        <v>3.0</v>
      </c>
      <c r="AP159" s="2">
        <v>3.0</v>
      </c>
      <c r="AQ159" s="2">
        <v>1.0</v>
      </c>
      <c r="AR159" s="2">
        <v>5.0</v>
      </c>
      <c r="AS159" s="2">
        <v>3.0</v>
      </c>
      <c r="AT159" s="2">
        <v>2.0</v>
      </c>
      <c r="AU159" s="2">
        <v>4.0</v>
      </c>
      <c r="AV159" s="2">
        <v>3.0</v>
      </c>
      <c r="AW159" s="2">
        <v>2.0</v>
      </c>
      <c r="AX159" s="2">
        <v>4.0</v>
      </c>
      <c r="AY159" s="2">
        <v>2.0</v>
      </c>
      <c r="AZ159" s="2">
        <v>2.0</v>
      </c>
      <c r="BA159" s="2">
        <v>4.0</v>
      </c>
      <c r="BB159" s="2">
        <v>4.0</v>
      </c>
      <c r="BC159" s="2">
        <v>4.0</v>
      </c>
      <c r="BD159" s="2">
        <v>4.0</v>
      </c>
      <c r="BE159" s="2">
        <v>5.0</v>
      </c>
      <c r="BF159" s="2">
        <v>1.0</v>
      </c>
      <c r="BG159" s="2">
        <v>2.0</v>
      </c>
      <c r="BH159" s="2">
        <v>1.0</v>
      </c>
      <c r="BI159" s="2">
        <v>1.0</v>
      </c>
      <c r="BJ159" s="2">
        <v>3.0</v>
      </c>
      <c r="BK159" s="2">
        <v>1.0</v>
      </c>
      <c r="BL159" s="2">
        <v>1.0</v>
      </c>
      <c r="BM159" s="2">
        <v>1.0</v>
      </c>
      <c r="BN159" s="2">
        <v>2.0</v>
      </c>
      <c r="BO159" s="2">
        <v>1.0</v>
      </c>
      <c r="BP159" s="2">
        <v>1.0</v>
      </c>
      <c r="BQ159" s="2" t="s">
        <v>568</v>
      </c>
      <c r="BR159" s="2" t="s">
        <v>389</v>
      </c>
      <c r="BS159" s="2" t="s">
        <v>390</v>
      </c>
      <c r="BT159" s="2" t="s">
        <v>391</v>
      </c>
      <c r="BU159" s="2" t="s">
        <v>392</v>
      </c>
      <c r="BV159" s="2" t="s">
        <v>395</v>
      </c>
      <c r="BW159" s="2" t="s">
        <v>394</v>
      </c>
      <c r="BX159" s="2" t="s">
        <v>393</v>
      </c>
      <c r="BY159" s="2" t="s">
        <v>396</v>
      </c>
      <c r="BZ159" s="2" t="s">
        <v>573</v>
      </c>
      <c r="CA159" s="2" t="s">
        <v>730</v>
      </c>
      <c r="CB159" s="2" t="s">
        <v>33</v>
      </c>
      <c r="CC159" s="2" t="s">
        <v>2115</v>
      </c>
      <c r="CD159" s="2">
        <v>5.0</v>
      </c>
      <c r="CE159" s="2" t="s">
        <v>794</v>
      </c>
      <c r="CF159" s="2" t="s">
        <v>952</v>
      </c>
      <c r="CG159" s="2" t="s">
        <v>1019</v>
      </c>
      <c r="CH159" s="2" t="s">
        <v>999</v>
      </c>
      <c r="CI159" s="2" t="s">
        <v>33</v>
      </c>
      <c r="CJ159" s="2" t="s">
        <v>33</v>
      </c>
      <c r="CK159" s="2" t="s">
        <v>2116</v>
      </c>
      <c r="CL159" s="2" t="s">
        <v>466</v>
      </c>
      <c r="CM159" s="4">
        <v>45724.0</v>
      </c>
      <c r="CN159" s="4">
        <v>45728.0</v>
      </c>
      <c r="CO159" s="2">
        <v>5.0</v>
      </c>
      <c r="CP159" s="2" t="s">
        <v>529</v>
      </c>
      <c r="CQ159" s="2" t="s">
        <v>369</v>
      </c>
      <c r="CR159" s="2" t="s">
        <v>442</v>
      </c>
      <c r="CS159" s="2" t="s">
        <v>529</v>
      </c>
      <c r="CT159" s="2" t="s">
        <v>645</v>
      </c>
      <c r="CU159" s="2" t="s">
        <v>372</v>
      </c>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14.57"/>
    <col customWidth="1" min="3" max="4" width="12.71"/>
    <col customWidth="1" min="5" max="5" width="18.57"/>
    <col customWidth="1" min="6" max="6" width="23.71"/>
    <col customWidth="1" min="7" max="7" width="14.86"/>
    <col customWidth="1" min="8" max="8" width="19.86"/>
    <col customWidth="1" min="9" max="9" width="17.86"/>
    <col customWidth="1" min="10" max="10" width="19.14"/>
    <col customWidth="1" min="11" max="11" width="17.43"/>
    <col customWidth="1" min="12" max="12" width="12.0"/>
    <col customWidth="1" min="13" max="13" width="11.86"/>
    <col customWidth="1" min="14" max="14" width="15.71"/>
    <col customWidth="1" min="15" max="15" width="12.86"/>
    <col customWidth="1" min="16" max="17" width="22.71"/>
    <col customWidth="1" min="18" max="18" width="10.86"/>
    <col customWidth="1" min="19" max="26" width="8.86"/>
  </cols>
  <sheetData>
    <row r="1">
      <c r="A1" s="5" t="s">
        <v>65</v>
      </c>
      <c r="B1" s="6" t="s">
        <v>712</v>
      </c>
      <c r="C1" s="6" t="s">
        <v>734</v>
      </c>
      <c r="D1" s="6" t="s">
        <v>736</v>
      </c>
      <c r="E1" s="5" t="s">
        <v>737</v>
      </c>
      <c r="F1" s="5" t="s">
        <v>740</v>
      </c>
      <c r="G1" s="5" t="s">
        <v>741</v>
      </c>
      <c r="H1" s="5" t="s">
        <v>744</v>
      </c>
      <c r="I1" s="5" t="s">
        <v>746</v>
      </c>
      <c r="J1" s="5" t="s">
        <v>747</v>
      </c>
      <c r="K1" s="5" t="s">
        <v>748</v>
      </c>
      <c r="L1" s="5" t="s">
        <v>751</v>
      </c>
      <c r="M1" s="5" t="s">
        <v>754</v>
      </c>
      <c r="N1" s="5" t="s">
        <v>755</v>
      </c>
      <c r="O1" s="5" t="s">
        <v>756</v>
      </c>
      <c r="P1" s="5" t="s">
        <v>758</v>
      </c>
      <c r="Q1" s="5" t="s">
        <v>759</v>
      </c>
      <c r="R1" s="7" t="s">
        <v>764</v>
      </c>
      <c r="S1" s="5"/>
      <c r="T1" s="5"/>
      <c r="U1" s="5"/>
      <c r="V1" s="5"/>
      <c r="W1" s="5"/>
      <c r="X1" s="5"/>
      <c r="Y1" s="5"/>
      <c r="Z1" s="5"/>
    </row>
    <row r="2">
      <c r="A2" s="8">
        <v>18.0</v>
      </c>
      <c r="B2" s="6" t="s">
        <v>165</v>
      </c>
      <c r="C2" s="8">
        <v>471.0</v>
      </c>
      <c r="D2" s="8">
        <v>-96.3</v>
      </c>
      <c r="E2" s="5">
        <v>7.6</v>
      </c>
      <c r="F2" s="5">
        <v>219.0</v>
      </c>
      <c r="G2" s="5">
        <v>4.0</v>
      </c>
      <c r="H2" s="5">
        <f t="shared" ref="H2:H19" si="1">E2/4</f>
        <v>1.9</v>
      </c>
      <c r="I2" s="5">
        <f t="shared" ref="I2:I19" si="2">C2/300</f>
        <v>1.57</v>
      </c>
      <c r="J2" s="5">
        <f t="shared" ref="J2:J19" si="3">ABS(D2)/500</f>
        <v>0.1926</v>
      </c>
      <c r="K2" s="5">
        <f t="shared" ref="K2:K19" si="4">I2+J2</f>
        <v>1.7626</v>
      </c>
      <c r="L2" s="5">
        <f t="shared" ref="L2:L19" si="5">MAX(H2,K2)+MIN(H2,K2)/2</f>
        <v>2.7813</v>
      </c>
      <c r="M2" s="5">
        <f t="shared" ref="M2:M19" si="6">L2*60</f>
        <v>166.878</v>
      </c>
      <c r="N2" s="5">
        <f t="shared" ref="N2:N19" si="7">M2*1.1</f>
        <v>183.5658</v>
      </c>
      <c r="O2" s="5">
        <v>2.0</v>
      </c>
      <c r="P2" s="5">
        <f t="shared" ref="P2:P19" si="8">IF(O2=2, N2*1.1, IF(O2=3, N2*1.2, 0))</f>
        <v>201.92238</v>
      </c>
      <c r="Q2" s="5">
        <f t="shared" ref="Q2:Q19" si="9">5*P2/60+(P2)</f>
        <v>218.749245</v>
      </c>
      <c r="R2" s="7">
        <f t="shared" ref="R2:R19" si="10">Q2 / 1440</f>
        <v>0.1519091979</v>
      </c>
      <c r="S2" s="5"/>
      <c r="T2" s="5"/>
      <c r="U2" s="5"/>
      <c r="V2" s="5"/>
      <c r="W2" s="5"/>
      <c r="X2" s="5"/>
      <c r="Y2" s="5"/>
      <c r="Z2" s="5"/>
    </row>
    <row r="3">
      <c r="A3" s="8">
        <v>19.0</v>
      </c>
      <c r="B3" s="6" t="s">
        <v>170</v>
      </c>
      <c r="C3" s="5">
        <v>444.0</v>
      </c>
      <c r="D3" s="5">
        <v>-34.5</v>
      </c>
      <c r="E3" s="5">
        <v>2.2</v>
      </c>
      <c r="F3" s="5">
        <v>108.5</v>
      </c>
      <c r="G3" s="5">
        <v>237.0</v>
      </c>
      <c r="H3" s="5">
        <f t="shared" si="1"/>
        <v>0.55</v>
      </c>
      <c r="I3" s="5">
        <f t="shared" si="2"/>
        <v>1.48</v>
      </c>
      <c r="J3" s="5">
        <f t="shared" si="3"/>
        <v>0.069</v>
      </c>
      <c r="K3" s="5">
        <f t="shared" si="4"/>
        <v>1.549</v>
      </c>
      <c r="L3" s="5">
        <f t="shared" si="5"/>
        <v>1.824</v>
      </c>
      <c r="M3" s="5">
        <f t="shared" si="6"/>
        <v>109.44</v>
      </c>
      <c r="N3" s="5">
        <f t="shared" si="7"/>
        <v>120.384</v>
      </c>
      <c r="O3" s="5">
        <v>2.0</v>
      </c>
      <c r="P3" s="5">
        <f t="shared" si="8"/>
        <v>132.4224</v>
      </c>
      <c r="Q3" s="5">
        <f t="shared" si="9"/>
        <v>143.4576</v>
      </c>
      <c r="R3" s="7">
        <f t="shared" si="10"/>
        <v>0.09962333333</v>
      </c>
      <c r="S3" s="5"/>
      <c r="T3" s="5"/>
      <c r="U3" s="5"/>
      <c r="V3" s="5"/>
      <c r="W3" s="5"/>
      <c r="X3" s="5"/>
      <c r="Y3" s="5"/>
      <c r="Z3" s="5"/>
    </row>
    <row r="4">
      <c r="A4" s="8">
        <v>1.0</v>
      </c>
      <c r="B4" s="6" t="s">
        <v>34</v>
      </c>
      <c r="C4" s="5">
        <v>195.0</v>
      </c>
      <c r="D4" s="5">
        <v>-180.0</v>
      </c>
      <c r="E4" s="5">
        <v>2.4</v>
      </c>
      <c r="F4" s="5">
        <v>173.0</v>
      </c>
      <c r="G4" s="5">
        <v>0.0</v>
      </c>
      <c r="H4" s="5">
        <f t="shared" si="1"/>
        <v>0.6</v>
      </c>
      <c r="I4" s="5">
        <f t="shared" si="2"/>
        <v>0.65</v>
      </c>
      <c r="J4" s="5">
        <f t="shared" si="3"/>
        <v>0.36</v>
      </c>
      <c r="K4" s="5">
        <f t="shared" si="4"/>
        <v>1.01</v>
      </c>
      <c r="L4" s="5">
        <f t="shared" si="5"/>
        <v>1.31</v>
      </c>
      <c r="M4" s="5">
        <f t="shared" si="6"/>
        <v>78.6</v>
      </c>
      <c r="N4" s="5">
        <f t="shared" si="7"/>
        <v>86.46</v>
      </c>
      <c r="O4" s="5">
        <v>2.0</v>
      </c>
      <c r="P4" s="5">
        <f t="shared" si="8"/>
        <v>95.106</v>
      </c>
      <c r="Q4" s="5">
        <f t="shared" si="9"/>
        <v>103.0315</v>
      </c>
      <c r="R4" s="7">
        <f t="shared" si="10"/>
        <v>0.07154965278</v>
      </c>
      <c r="S4" s="5"/>
      <c r="T4" s="5"/>
      <c r="U4" s="5"/>
      <c r="V4" s="5"/>
      <c r="W4" s="5"/>
      <c r="X4" s="5"/>
      <c r="Y4" s="5"/>
      <c r="Z4" s="5"/>
    </row>
    <row r="5">
      <c r="A5" s="8">
        <v>3.0</v>
      </c>
      <c r="B5" s="6" t="s">
        <v>38</v>
      </c>
      <c r="C5" s="5">
        <v>0.0</v>
      </c>
      <c r="D5" s="5">
        <v>-491.0</v>
      </c>
      <c r="E5" s="5">
        <v>1.8</v>
      </c>
      <c r="F5" s="5">
        <v>68.0</v>
      </c>
      <c r="G5" s="5">
        <v>56.0</v>
      </c>
      <c r="H5" s="5">
        <f t="shared" si="1"/>
        <v>0.45</v>
      </c>
      <c r="I5" s="5">
        <f t="shared" si="2"/>
        <v>0</v>
      </c>
      <c r="J5" s="5">
        <f t="shared" si="3"/>
        <v>0.982</v>
      </c>
      <c r="K5" s="5">
        <f t="shared" si="4"/>
        <v>0.982</v>
      </c>
      <c r="L5" s="5">
        <f t="shared" si="5"/>
        <v>1.207</v>
      </c>
      <c r="M5" s="5">
        <f t="shared" si="6"/>
        <v>72.42</v>
      </c>
      <c r="N5" s="5">
        <f t="shared" si="7"/>
        <v>79.662</v>
      </c>
      <c r="O5" s="5">
        <v>2.0</v>
      </c>
      <c r="P5" s="5">
        <f t="shared" si="8"/>
        <v>87.6282</v>
      </c>
      <c r="Q5" s="5">
        <f t="shared" si="9"/>
        <v>94.93055</v>
      </c>
      <c r="R5" s="7">
        <f t="shared" si="10"/>
        <v>0.06592399306</v>
      </c>
      <c r="S5" s="5"/>
      <c r="T5" s="5"/>
      <c r="U5" s="5"/>
      <c r="V5" s="5"/>
      <c r="W5" s="5"/>
      <c r="X5" s="5"/>
      <c r="Y5" s="5"/>
      <c r="Z5" s="5"/>
    </row>
    <row r="6">
      <c r="A6" s="8">
        <v>4.0</v>
      </c>
      <c r="B6" s="6" t="s">
        <v>45</v>
      </c>
      <c r="C6" s="5">
        <v>377.0</v>
      </c>
      <c r="D6" s="5">
        <v>-33.3</v>
      </c>
      <c r="E6" s="5">
        <v>1.65</v>
      </c>
      <c r="F6" s="5">
        <v>112.0</v>
      </c>
      <c r="G6" s="5">
        <v>122.0</v>
      </c>
      <c r="H6" s="5">
        <f t="shared" si="1"/>
        <v>0.4125</v>
      </c>
      <c r="I6" s="5">
        <f t="shared" si="2"/>
        <v>1.256666667</v>
      </c>
      <c r="J6" s="5">
        <f t="shared" si="3"/>
        <v>0.0666</v>
      </c>
      <c r="K6" s="5">
        <f t="shared" si="4"/>
        <v>1.323266667</v>
      </c>
      <c r="L6" s="5">
        <f t="shared" si="5"/>
        <v>1.529516667</v>
      </c>
      <c r="M6" s="5">
        <f t="shared" si="6"/>
        <v>91.771</v>
      </c>
      <c r="N6" s="5">
        <f t="shared" si="7"/>
        <v>100.9481</v>
      </c>
      <c r="O6" s="5">
        <v>2.0</v>
      </c>
      <c r="P6" s="5">
        <f t="shared" si="8"/>
        <v>111.04291</v>
      </c>
      <c r="Q6" s="5">
        <f t="shared" si="9"/>
        <v>120.2964858</v>
      </c>
      <c r="R6" s="7">
        <f t="shared" si="10"/>
        <v>0.08353922627</v>
      </c>
      <c r="S6" s="5"/>
      <c r="T6" s="5"/>
      <c r="U6" s="5"/>
      <c r="V6" s="5"/>
      <c r="W6" s="5"/>
      <c r="X6" s="5"/>
      <c r="Y6" s="5"/>
      <c r="Z6" s="5"/>
    </row>
    <row r="7">
      <c r="A7" s="8">
        <v>5.0</v>
      </c>
      <c r="B7" s="6" t="s">
        <v>54</v>
      </c>
      <c r="C7" s="5">
        <v>14.7</v>
      </c>
      <c r="D7" s="5">
        <v>-13.1</v>
      </c>
      <c r="E7" s="5">
        <v>0.85</v>
      </c>
      <c r="F7" s="5">
        <v>22.0</v>
      </c>
      <c r="G7" s="5">
        <v>172.0</v>
      </c>
      <c r="H7" s="5">
        <f t="shared" si="1"/>
        <v>0.2125</v>
      </c>
      <c r="I7" s="5">
        <f t="shared" si="2"/>
        <v>0.049</v>
      </c>
      <c r="J7" s="5">
        <f t="shared" si="3"/>
        <v>0.0262</v>
      </c>
      <c r="K7" s="5">
        <f t="shared" si="4"/>
        <v>0.0752</v>
      </c>
      <c r="L7" s="5">
        <f t="shared" si="5"/>
        <v>0.2501</v>
      </c>
      <c r="M7" s="5">
        <f t="shared" si="6"/>
        <v>15.006</v>
      </c>
      <c r="N7" s="5">
        <f t="shared" si="7"/>
        <v>16.5066</v>
      </c>
      <c r="O7" s="5">
        <v>3.0</v>
      </c>
      <c r="P7" s="5">
        <f t="shared" si="8"/>
        <v>19.80792</v>
      </c>
      <c r="Q7" s="5">
        <f t="shared" si="9"/>
        <v>21.45858</v>
      </c>
      <c r="R7" s="7">
        <f t="shared" si="10"/>
        <v>0.01490179167</v>
      </c>
      <c r="S7" s="5"/>
      <c r="T7" s="5"/>
      <c r="U7" s="5"/>
      <c r="V7" s="5"/>
      <c r="W7" s="5"/>
      <c r="X7" s="5"/>
      <c r="Y7" s="5"/>
      <c r="Z7" s="5"/>
    </row>
    <row r="8">
      <c r="A8" s="8">
        <v>6.0</v>
      </c>
      <c r="B8" s="6" t="s">
        <v>60</v>
      </c>
      <c r="C8" s="5">
        <v>338.0</v>
      </c>
      <c r="D8" s="5">
        <v>-206.0</v>
      </c>
      <c r="E8" s="5">
        <v>3.3</v>
      </c>
      <c r="F8" s="5">
        <v>158.0</v>
      </c>
      <c r="G8" s="5">
        <v>75.0</v>
      </c>
      <c r="H8" s="5">
        <f t="shared" si="1"/>
        <v>0.825</v>
      </c>
      <c r="I8" s="5">
        <f t="shared" si="2"/>
        <v>1.126666667</v>
      </c>
      <c r="J8" s="5">
        <f t="shared" si="3"/>
        <v>0.412</v>
      </c>
      <c r="K8" s="5">
        <f t="shared" si="4"/>
        <v>1.538666667</v>
      </c>
      <c r="L8" s="5">
        <f t="shared" si="5"/>
        <v>1.951166667</v>
      </c>
      <c r="M8" s="5">
        <f t="shared" si="6"/>
        <v>117.07</v>
      </c>
      <c r="N8" s="5">
        <f t="shared" si="7"/>
        <v>128.777</v>
      </c>
      <c r="O8" s="5">
        <v>3.0</v>
      </c>
      <c r="P8" s="5">
        <f t="shared" si="8"/>
        <v>154.5324</v>
      </c>
      <c r="Q8" s="5">
        <f t="shared" si="9"/>
        <v>167.4101</v>
      </c>
      <c r="R8" s="7">
        <f t="shared" si="10"/>
        <v>0.1162570139</v>
      </c>
      <c r="S8" s="5"/>
      <c r="T8" s="5"/>
      <c r="U8" s="5"/>
      <c r="V8" s="5"/>
      <c r="W8" s="5"/>
      <c r="X8" s="5"/>
      <c r="Y8" s="5"/>
      <c r="Z8" s="5"/>
    </row>
    <row r="9">
      <c r="A9" s="8">
        <v>7.0</v>
      </c>
      <c r="B9" s="6" t="s">
        <v>71</v>
      </c>
      <c r="C9" s="5">
        <v>1.0</v>
      </c>
      <c r="D9" s="5">
        <v>-117.0</v>
      </c>
      <c r="E9" s="5">
        <v>0.95</v>
      </c>
      <c r="F9" s="5">
        <v>33.0</v>
      </c>
      <c r="G9" s="5">
        <v>0.0</v>
      </c>
      <c r="H9" s="5">
        <f t="shared" si="1"/>
        <v>0.2375</v>
      </c>
      <c r="I9" s="5">
        <f t="shared" si="2"/>
        <v>0.003333333333</v>
      </c>
      <c r="J9" s="5">
        <f t="shared" si="3"/>
        <v>0.234</v>
      </c>
      <c r="K9" s="5">
        <f t="shared" si="4"/>
        <v>0.2373333333</v>
      </c>
      <c r="L9" s="5">
        <f t="shared" si="5"/>
        <v>0.3561666667</v>
      </c>
      <c r="M9" s="5">
        <f t="shared" si="6"/>
        <v>21.37</v>
      </c>
      <c r="N9" s="5">
        <f t="shared" si="7"/>
        <v>23.507</v>
      </c>
      <c r="O9" s="5">
        <v>2.0</v>
      </c>
      <c r="P9" s="5">
        <f t="shared" si="8"/>
        <v>25.8577</v>
      </c>
      <c r="Q9" s="5">
        <f t="shared" si="9"/>
        <v>28.01250833</v>
      </c>
      <c r="R9" s="7">
        <f t="shared" si="10"/>
        <v>0.01945313079</v>
      </c>
      <c r="S9" s="5"/>
      <c r="T9" s="5"/>
      <c r="U9" s="5"/>
      <c r="V9" s="5"/>
      <c r="W9" s="5"/>
      <c r="X9" s="5"/>
      <c r="Y9" s="5"/>
      <c r="Z9" s="5"/>
    </row>
    <row r="10">
      <c r="A10" s="8">
        <v>8.0</v>
      </c>
      <c r="B10" s="6" t="s">
        <v>77</v>
      </c>
      <c r="C10" s="5">
        <v>5.5</v>
      </c>
      <c r="D10" s="5">
        <v>-9.8</v>
      </c>
      <c r="E10" s="5">
        <v>0.34</v>
      </c>
      <c r="F10" s="5">
        <v>15.0</v>
      </c>
      <c r="G10" s="5">
        <v>76.0</v>
      </c>
      <c r="H10" s="5">
        <f t="shared" si="1"/>
        <v>0.085</v>
      </c>
      <c r="I10" s="5">
        <f t="shared" si="2"/>
        <v>0.01833333333</v>
      </c>
      <c r="J10" s="5">
        <f t="shared" si="3"/>
        <v>0.0196</v>
      </c>
      <c r="K10" s="5">
        <f t="shared" si="4"/>
        <v>0.03793333333</v>
      </c>
      <c r="L10" s="5">
        <f t="shared" si="5"/>
        <v>0.1039666667</v>
      </c>
      <c r="M10" s="5">
        <f t="shared" si="6"/>
        <v>6.238</v>
      </c>
      <c r="N10" s="5">
        <f t="shared" si="7"/>
        <v>6.8618</v>
      </c>
      <c r="O10" s="5">
        <v>2.0</v>
      </c>
      <c r="P10" s="5">
        <f t="shared" si="8"/>
        <v>7.54798</v>
      </c>
      <c r="Q10" s="5">
        <f t="shared" si="9"/>
        <v>8.176978333</v>
      </c>
      <c r="R10" s="7">
        <f t="shared" si="10"/>
        <v>0.005678457176</v>
      </c>
      <c r="S10" s="5"/>
      <c r="T10" s="5"/>
      <c r="U10" s="5"/>
      <c r="V10" s="5"/>
      <c r="W10" s="5"/>
      <c r="X10" s="5"/>
      <c r="Y10" s="5"/>
      <c r="Z10" s="5"/>
    </row>
    <row r="11">
      <c r="A11" s="8">
        <v>9.0</v>
      </c>
      <c r="B11" s="6" t="s">
        <v>81</v>
      </c>
      <c r="C11" s="5">
        <v>466.0</v>
      </c>
      <c r="D11" s="5">
        <v>-360.0</v>
      </c>
      <c r="E11" s="5">
        <v>3.5</v>
      </c>
      <c r="F11" s="5">
        <v>205.0</v>
      </c>
      <c r="G11" s="5">
        <v>59.0</v>
      </c>
      <c r="H11" s="5">
        <f t="shared" si="1"/>
        <v>0.875</v>
      </c>
      <c r="I11" s="5">
        <f t="shared" si="2"/>
        <v>1.553333333</v>
      </c>
      <c r="J11" s="5">
        <f t="shared" si="3"/>
        <v>0.72</v>
      </c>
      <c r="K11" s="5">
        <f t="shared" si="4"/>
        <v>2.273333333</v>
      </c>
      <c r="L11" s="5">
        <f t="shared" si="5"/>
        <v>2.710833333</v>
      </c>
      <c r="M11" s="5">
        <f t="shared" si="6"/>
        <v>162.65</v>
      </c>
      <c r="N11" s="5">
        <f t="shared" si="7"/>
        <v>178.915</v>
      </c>
      <c r="O11" s="5">
        <v>3.0</v>
      </c>
      <c r="P11" s="5">
        <f t="shared" si="8"/>
        <v>214.698</v>
      </c>
      <c r="Q11" s="5">
        <f t="shared" si="9"/>
        <v>232.5895</v>
      </c>
      <c r="R11" s="7">
        <f t="shared" si="10"/>
        <v>0.1615204861</v>
      </c>
      <c r="S11" s="5"/>
      <c r="T11" s="5"/>
      <c r="U11" s="5"/>
      <c r="V11" s="5"/>
      <c r="W11" s="5"/>
      <c r="X11" s="5"/>
      <c r="Y11" s="5"/>
      <c r="Z11" s="5"/>
    </row>
    <row r="12">
      <c r="A12" s="8">
        <v>10.0</v>
      </c>
      <c r="B12" s="6" t="s">
        <v>88</v>
      </c>
      <c r="C12" s="5">
        <v>35.8</v>
      </c>
      <c r="D12" s="5">
        <v>0.0</v>
      </c>
      <c r="E12" s="5">
        <v>0.17</v>
      </c>
      <c r="F12" s="5">
        <v>9.0</v>
      </c>
      <c r="G12" s="5">
        <v>50.0</v>
      </c>
      <c r="H12" s="5">
        <f t="shared" si="1"/>
        <v>0.0425</v>
      </c>
      <c r="I12" s="5">
        <f t="shared" si="2"/>
        <v>0.1193333333</v>
      </c>
      <c r="J12" s="5">
        <f t="shared" si="3"/>
        <v>0</v>
      </c>
      <c r="K12" s="5">
        <f t="shared" si="4"/>
        <v>0.1193333333</v>
      </c>
      <c r="L12" s="5">
        <f t="shared" si="5"/>
        <v>0.1405833333</v>
      </c>
      <c r="M12" s="5">
        <f t="shared" si="6"/>
        <v>8.435</v>
      </c>
      <c r="N12" s="5">
        <f t="shared" si="7"/>
        <v>9.2785</v>
      </c>
      <c r="O12" s="5">
        <v>3.0</v>
      </c>
      <c r="P12" s="5">
        <f t="shared" si="8"/>
        <v>11.1342</v>
      </c>
      <c r="Q12" s="5">
        <f t="shared" si="9"/>
        <v>12.06205</v>
      </c>
      <c r="R12" s="7">
        <f t="shared" si="10"/>
        <v>0.008376423611</v>
      </c>
      <c r="S12" s="5"/>
      <c r="T12" s="5"/>
      <c r="U12" s="5"/>
      <c r="V12" s="5"/>
      <c r="W12" s="5"/>
      <c r="X12" s="5"/>
      <c r="Y12" s="5"/>
      <c r="Z12" s="5"/>
    </row>
    <row r="13">
      <c r="A13" s="8">
        <v>11.0</v>
      </c>
      <c r="B13" s="6" t="s">
        <v>109</v>
      </c>
      <c r="C13" s="5">
        <v>24.6</v>
      </c>
      <c r="D13" s="5">
        <v>0.0</v>
      </c>
      <c r="E13" s="5">
        <v>0.25</v>
      </c>
      <c r="F13" s="5">
        <v>17.0</v>
      </c>
      <c r="G13" s="5">
        <v>113.0</v>
      </c>
      <c r="H13" s="5">
        <f t="shared" si="1"/>
        <v>0.0625</v>
      </c>
      <c r="I13" s="5">
        <f t="shared" si="2"/>
        <v>0.082</v>
      </c>
      <c r="J13" s="5">
        <f t="shared" si="3"/>
        <v>0</v>
      </c>
      <c r="K13" s="5">
        <f t="shared" si="4"/>
        <v>0.082</v>
      </c>
      <c r="L13" s="5">
        <f t="shared" si="5"/>
        <v>0.11325</v>
      </c>
      <c r="M13" s="5">
        <f t="shared" si="6"/>
        <v>6.795</v>
      </c>
      <c r="N13" s="5">
        <f t="shared" si="7"/>
        <v>7.4745</v>
      </c>
      <c r="O13" s="5">
        <v>3.0</v>
      </c>
      <c r="P13" s="5">
        <f t="shared" si="8"/>
        <v>8.9694</v>
      </c>
      <c r="Q13" s="5">
        <f t="shared" si="9"/>
        <v>9.71685</v>
      </c>
      <c r="R13" s="7">
        <f t="shared" si="10"/>
        <v>0.0067478125</v>
      </c>
      <c r="S13" s="5"/>
      <c r="T13" s="5"/>
      <c r="U13" s="5"/>
      <c r="V13" s="5"/>
      <c r="W13" s="5"/>
      <c r="X13" s="5"/>
      <c r="Y13" s="5"/>
      <c r="Z13" s="5"/>
    </row>
    <row r="14">
      <c r="A14" s="8">
        <v>12.0</v>
      </c>
      <c r="B14" s="6" t="s">
        <v>125</v>
      </c>
      <c r="C14" s="5">
        <v>270.0</v>
      </c>
      <c r="D14" s="5">
        <v>-58.0</v>
      </c>
      <c r="E14" s="5">
        <v>2.1</v>
      </c>
      <c r="F14" s="5">
        <v>106.0</v>
      </c>
      <c r="G14" s="5">
        <v>10.0</v>
      </c>
      <c r="H14" s="5">
        <f t="shared" si="1"/>
        <v>0.525</v>
      </c>
      <c r="I14" s="5">
        <f t="shared" si="2"/>
        <v>0.9</v>
      </c>
      <c r="J14" s="5">
        <f t="shared" si="3"/>
        <v>0.116</v>
      </c>
      <c r="K14" s="5">
        <f t="shared" si="4"/>
        <v>1.016</v>
      </c>
      <c r="L14" s="5">
        <f t="shared" si="5"/>
        <v>1.2785</v>
      </c>
      <c r="M14" s="5">
        <f t="shared" si="6"/>
        <v>76.71</v>
      </c>
      <c r="N14" s="5">
        <f t="shared" si="7"/>
        <v>84.381</v>
      </c>
      <c r="O14" s="5">
        <v>3.0</v>
      </c>
      <c r="P14" s="5">
        <f t="shared" si="8"/>
        <v>101.2572</v>
      </c>
      <c r="Q14" s="5">
        <f t="shared" si="9"/>
        <v>109.6953</v>
      </c>
      <c r="R14" s="7">
        <f t="shared" si="10"/>
        <v>0.07617729167</v>
      </c>
      <c r="S14" s="5"/>
      <c r="T14" s="5"/>
      <c r="U14" s="5"/>
      <c r="V14" s="5"/>
      <c r="W14" s="5"/>
      <c r="X14" s="5"/>
      <c r="Y14" s="5"/>
      <c r="Z14" s="5"/>
    </row>
    <row r="15">
      <c r="A15" s="8">
        <v>14.0</v>
      </c>
      <c r="B15" s="6" t="s">
        <v>135</v>
      </c>
      <c r="C15" s="5">
        <v>108.0</v>
      </c>
      <c r="D15" s="5">
        <v>-390.0</v>
      </c>
      <c r="E15" s="5">
        <v>2.4</v>
      </c>
      <c r="F15" s="5">
        <v>58.0</v>
      </c>
      <c r="G15" s="5">
        <v>7.0</v>
      </c>
      <c r="H15" s="5">
        <f t="shared" si="1"/>
        <v>0.6</v>
      </c>
      <c r="I15" s="5">
        <f t="shared" si="2"/>
        <v>0.36</v>
      </c>
      <c r="J15" s="5">
        <f t="shared" si="3"/>
        <v>0.78</v>
      </c>
      <c r="K15" s="5">
        <f t="shared" si="4"/>
        <v>1.14</v>
      </c>
      <c r="L15" s="5">
        <f t="shared" si="5"/>
        <v>1.44</v>
      </c>
      <c r="M15" s="5">
        <f t="shared" si="6"/>
        <v>86.4</v>
      </c>
      <c r="N15" s="5">
        <f t="shared" si="7"/>
        <v>95.04</v>
      </c>
      <c r="O15" s="5">
        <v>3.0</v>
      </c>
      <c r="P15" s="5">
        <f t="shared" si="8"/>
        <v>114.048</v>
      </c>
      <c r="Q15" s="5">
        <f t="shared" si="9"/>
        <v>123.552</v>
      </c>
      <c r="R15" s="7">
        <f t="shared" si="10"/>
        <v>0.0858</v>
      </c>
      <c r="S15" s="5"/>
      <c r="T15" s="5"/>
      <c r="U15" s="5"/>
      <c r="V15" s="5"/>
      <c r="W15" s="5"/>
      <c r="X15" s="5"/>
      <c r="Y15" s="5"/>
      <c r="Z15" s="5"/>
    </row>
    <row r="16">
      <c r="A16" s="8">
        <v>15.0</v>
      </c>
      <c r="B16" s="6" t="s">
        <v>142</v>
      </c>
      <c r="C16" s="5">
        <v>23.3</v>
      </c>
      <c r="D16" s="5">
        <v>-186.0</v>
      </c>
      <c r="E16" s="5">
        <v>1.7</v>
      </c>
      <c r="F16" s="5">
        <v>114.0</v>
      </c>
      <c r="G16" s="5">
        <v>0.0</v>
      </c>
      <c r="H16" s="5">
        <f t="shared" si="1"/>
        <v>0.425</v>
      </c>
      <c r="I16" s="5">
        <f t="shared" si="2"/>
        <v>0.07766666667</v>
      </c>
      <c r="J16" s="5">
        <f t="shared" si="3"/>
        <v>0.372</v>
      </c>
      <c r="K16" s="5">
        <f t="shared" si="4"/>
        <v>0.4496666667</v>
      </c>
      <c r="L16" s="5">
        <f t="shared" si="5"/>
        <v>0.6621666667</v>
      </c>
      <c r="M16" s="5">
        <f t="shared" si="6"/>
        <v>39.73</v>
      </c>
      <c r="N16" s="5">
        <f t="shared" si="7"/>
        <v>43.703</v>
      </c>
      <c r="O16" s="5">
        <v>2.0</v>
      </c>
      <c r="P16" s="5">
        <f t="shared" si="8"/>
        <v>48.0733</v>
      </c>
      <c r="Q16" s="5">
        <f t="shared" si="9"/>
        <v>52.07940833</v>
      </c>
      <c r="R16" s="7">
        <f t="shared" si="10"/>
        <v>0.03616625579</v>
      </c>
      <c r="S16" s="5"/>
      <c r="T16" s="5"/>
      <c r="U16" s="5"/>
      <c r="V16" s="5"/>
      <c r="W16" s="5"/>
      <c r="X16" s="5"/>
      <c r="Y16" s="5"/>
      <c r="Z16" s="5"/>
    </row>
    <row r="17">
      <c r="A17" s="8">
        <v>16.0</v>
      </c>
      <c r="B17" s="6" t="s">
        <v>159</v>
      </c>
      <c r="C17" s="5">
        <v>8.16</v>
      </c>
      <c r="D17" s="5">
        <v>-24.5</v>
      </c>
      <c r="E17" s="5">
        <v>0.56</v>
      </c>
      <c r="F17" s="5">
        <v>7.0</v>
      </c>
      <c r="G17" s="5">
        <v>130.0</v>
      </c>
      <c r="H17" s="5">
        <f t="shared" si="1"/>
        <v>0.14</v>
      </c>
      <c r="I17" s="5">
        <f t="shared" si="2"/>
        <v>0.0272</v>
      </c>
      <c r="J17" s="5">
        <f t="shared" si="3"/>
        <v>0.049</v>
      </c>
      <c r="K17" s="5">
        <f t="shared" si="4"/>
        <v>0.0762</v>
      </c>
      <c r="L17" s="5">
        <f t="shared" si="5"/>
        <v>0.1781</v>
      </c>
      <c r="M17" s="5">
        <f t="shared" si="6"/>
        <v>10.686</v>
      </c>
      <c r="N17" s="5">
        <f t="shared" si="7"/>
        <v>11.7546</v>
      </c>
      <c r="O17" s="5">
        <v>2.0</v>
      </c>
      <c r="P17" s="5">
        <f t="shared" si="8"/>
        <v>12.93006</v>
      </c>
      <c r="Q17" s="5">
        <f t="shared" si="9"/>
        <v>14.007565</v>
      </c>
      <c r="R17" s="7">
        <f t="shared" si="10"/>
        <v>0.009727475694</v>
      </c>
      <c r="S17" s="5"/>
      <c r="T17" s="5"/>
      <c r="U17" s="5"/>
      <c r="V17" s="5"/>
      <c r="W17" s="5"/>
      <c r="X17" s="5"/>
      <c r="Y17" s="5"/>
      <c r="Z17" s="5"/>
    </row>
    <row r="18">
      <c r="A18" s="8">
        <v>17.0</v>
      </c>
      <c r="B18" s="6" t="s">
        <v>163</v>
      </c>
      <c r="C18" s="5">
        <v>5.6</v>
      </c>
      <c r="D18" s="5">
        <v>-4.7</v>
      </c>
      <c r="E18" s="5">
        <v>0.3</v>
      </c>
      <c r="F18" s="5">
        <v>16.0</v>
      </c>
      <c r="G18" s="5">
        <v>131.0</v>
      </c>
      <c r="H18" s="5">
        <f t="shared" si="1"/>
        <v>0.075</v>
      </c>
      <c r="I18" s="5">
        <f t="shared" si="2"/>
        <v>0.01866666667</v>
      </c>
      <c r="J18" s="5">
        <f t="shared" si="3"/>
        <v>0.0094</v>
      </c>
      <c r="K18" s="5">
        <f t="shared" si="4"/>
        <v>0.02806666667</v>
      </c>
      <c r="L18" s="5">
        <f t="shared" si="5"/>
        <v>0.08903333333</v>
      </c>
      <c r="M18" s="5">
        <f t="shared" si="6"/>
        <v>5.342</v>
      </c>
      <c r="N18" s="5">
        <f t="shared" si="7"/>
        <v>5.8762</v>
      </c>
      <c r="O18" s="5">
        <v>2.0</v>
      </c>
      <c r="P18" s="5">
        <f t="shared" si="8"/>
        <v>6.46382</v>
      </c>
      <c r="Q18" s="5">
        <f t="shared" si="9"/>
        <v>7.002471667</v>
      </c>
      <c r="R18" s="7">
        <f t="shared" si="10"/>
        <v>0.004862827546</v>
      </c>
      <c r="S18" s="5"/>
      <c r="T18" s="5"/>
      <c r="U18" s="5"/>
      <c r="V18" s="5"/>
      <c r="W18" s="5"/>
      <c r="X18" s="5"/>
      <c r="Y18" s="5"/>
      <c r="Z18" s="5"/>
    </row>
    <row r="19">
      <c r="A19" s="5">
        <v>50.0</v>
      </c>
      <c r="B19" s="5" t="s">
        <v>1218</v>
      </c>
      <c r="C19" s="5">
        <v>128.0</v>
      </c>
      <c r="D19" s="5">
        <v>-661.0</v>
      </c>
      <c r="E19" s="5">
        <v>7.36</v>
      </c>
      <c r="F19" s="5">
        <v>224.0</v>
      </c>
      <c r="G19" s="5">
        <v>0.0</v>
      </c>
      <c r="H19" s="5">
        <f t="shared" si="1"/>
        <v>1.84</v>
      </c>
      <c r="I19" s="5">
        <f t="shared" si="2"/>
        <v>0.4266666667</v>
      </c>
      <c r="J19" s="5">
        <f t="shared" si="3"/>
        <v>1.322</v>
      </c>
      <c r="K19" s="5">
        <f t="shared" si="4"/>
        <v>1.748666667</v>
      </c>
      <c r="L19" s="5">
        <f t="shared" si="5"/>
        <v>2.714333333</v>
      </c>
      <c r="M19" s="5">
        <f t="shared" si="6"/>
        <v>162.86</v>
      </c>
      <c r="N19" s="5">
        <f t="shared" si="7"/>
        <v>179.146</v>
      </c>
      <c r="O19" s="5">
        <v>2.0</v>
      </c>
      <c r="P19" s="5">
        <f t="shared" si="8"/>
        <v>197.0606</v>
      </c>
      <c r="Q19" s="5">
        <f t="shared" si="9"/>
        <v>213.4823167</v>
      </c>
      <c r="R19" s="7">
        <f t="shared" si="10"/>
        <v>0.1482516088</v>
      </c>
      <c r="S19" s="5"/>
      <c r="T19" s="5"/>
      <c r="U19" s="5"/>
      <c r="V19" s="5"/>
      <c r="W19" s="5"/>
      <c r="X19" s="5"/>
      <c r="Y19" s="5"/>
      <c r="Z19" s="5"/>
    </row>
    <row r="20">
      <c r="A20" s="5"/>
      <c r="B20" s="5"/>
      <c r="C20" s="5"/>
      <c r="D20" s="5"/>
      <c r="E20" s="5"/>
      <c r="F20" s="5"/>
      <c r="G20" s="5"/>
      <c r="H20" s="5"/>
      <c r="I20" s="5"/>
      <c r="J20" s="5"/>
      <c r="K20" s="5"/>
      <c r="L20" s="5"/>
      <c r="M20" s="5"/>
      <c r="N20" s="5"/>
      <c r="O20" s="5"/>
      <c r="P20" s="5"/>
      <c r="Q20" s="5"/>
      <c r="R20" s="7"/>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7"/>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7"/>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7"/>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7"/>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7"/>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7"/>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7"/>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7"/>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7"/>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7"/>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7"/>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7"/>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7"/>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7"/>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7"/>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7"/>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7"/>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7"/>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7"/>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7"/>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7"/>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7"/>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7"/>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7"/>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7"/>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7"/>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7"/>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7"/>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7"/>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7"/>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7"/>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7"/>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7"/>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7"/>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7"/>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7"/>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7"/>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7"/>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7"/>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7"/>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7"/>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7"/>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7"/>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7"/>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7"/>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7"/>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7"/>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7"/>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7"/>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7"/>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7"/>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7"/>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7"/>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7"/>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7"/>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7"/>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7"/>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7"/>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7"/>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7"/>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7"/>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7"/>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7"/>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7"/>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7"/>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7"/>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7"/>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7"/>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7"/>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7"/>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7"/>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7"/>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7"/>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7"/>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7"/>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7"/>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7"/>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7"/>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7"/>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7"/>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7"/>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7"/>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7"/>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7"/>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7"/>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7"/>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7"/>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7"/>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7"/>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7"/>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7"/>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7"/>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7"/>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7"/>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7"/>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7"/>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7"/>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7"/>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7"/>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7"/>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7"/>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7"/>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7"/>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7"/>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7"/>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7"/>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7"/>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7"/>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7"/>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7"/>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7"/>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7"/>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7"/>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7"/>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7"/>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7"/>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7"/>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7"/>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7"/>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7"/>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7"/>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7"/>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7"/>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7"/>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7"/>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7"/>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7"/>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7"/>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7"/>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7"/>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7"/>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7"/>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7"/>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7"/>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7"/>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7"/>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7"/>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7"/>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7"/>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7"/>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7"/>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7"/>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7"/>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7"/>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7"/>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7"/>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7"/>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7"/>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7"/>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7"/>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7"/>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7"/>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7"/>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7"/>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7"/>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7"/>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7"/>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7"/>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7"/>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7"/>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7"/>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7"/>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7"/>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7"/>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7"/>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7"/>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7"/>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7"/>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7"/>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7"/>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7"/>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7"/>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7"/>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7"/>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7"/>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7"/>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7"/>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7"/>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7"/>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7"/>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7"/>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7"/>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7"/>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7"/>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7"/>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7"/>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7"/>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7"/>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7"/>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7"/>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7"/>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7"/>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7"/>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7"/>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7"/>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7"/>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7"/>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7"/>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7"/>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7"/>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7"/>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7"/>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7"/>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7"/>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7"/>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7"/>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7"/>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7"/>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7"/>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7"/>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7"/>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7"/>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7"/>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7"/>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7"/>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7"/>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7"/>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7"/>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7"/>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7"/>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7"/>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7"/>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7"/>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7"/>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7"/>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7"/>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7"/>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7"/>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7"/>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7"/>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7"/>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7"/>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7"/>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7"/>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7"/>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7"/>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7"/>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7"/>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7"/>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7"/>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7"/>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7"/>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7"/>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7"/>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7"/>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7"/>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7"/>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7"/>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7"/>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7"/>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7"/>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7"/>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7"/>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7"/>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7"/>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7"/>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7"/>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7"/>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7"/>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7"/>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7"/>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7"/>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7"/>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7"/>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7"/>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7"/>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7"/>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7"/>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7"/>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7"/>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7"/>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7"/>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7"/>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7"/>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7"/>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7"/>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7"/>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7"/>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7"/>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7"/>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7"/>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7"/>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7"/>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7"/>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7"/>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7"/>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7"/>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7"/>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7"/>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7"/>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7"/>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7"/>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7"/>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7"/>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7"/>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7"/>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7"/>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7"/>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7"/>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7"/>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7"/>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7"/>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7"/>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7"/>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7"/>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7"/>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7"/>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7"/>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7"/>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7"/>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7"/>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7"/>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7"/>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7"/>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7"/>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7"/>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7"/>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7"/>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7"/>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7"/>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7"/>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7"/>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7"/>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7"/>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7"/>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7"/>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7"/>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7"/>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7"/>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7"/>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7"/>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7"/>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7"/>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7"/>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7"/>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7"/>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7"/>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7"/>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7"/>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7"/>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7"/>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7"/>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7"/>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7"/>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7"/>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7"/>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7"/>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7"/>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7"/>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7"/>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7"/>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7"/>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7"/>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7"/>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7"/>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7"/>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7"/>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7"/>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7"/>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7"/>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7"/>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7"/>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7"/>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7"/>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7"/>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7"/>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7"/>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7"/>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7"/>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7"/>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7"/>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7"/>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7"/>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7"/>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7"/>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7"/>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7"/>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7"/>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7"/>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7"/>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7"/>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7"/>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7"/>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7"/>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7"/>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7"/>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7"/>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7"/>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7"/>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7"/>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7"/>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7"/>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7"/>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7"/>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7"/>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7"/>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7"/>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7"/>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7"/>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7"/>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7"/>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7"/>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7"/>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7"/>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7"/>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7"/>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7"/>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7"/>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7"/>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7"/>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7"/>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7"/>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7"/>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7"/>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7"/>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7"/>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7"/>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7"/>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7"/>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7"/>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7"/>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7"/>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7"/>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7"/>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7"/>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7"/>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7"/>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7"/>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7"/>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7"/>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7"/>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7"/>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7"/>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7"/>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7"/>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7"/>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7"/>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7"/>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7"/>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7"/>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7"/>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7"/>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7"/>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7"/>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7"/>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7"/>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7"/>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7"/>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7"/>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7"/>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7"/>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7"/>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7"/>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7"/>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7"/>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7"/>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7"/>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7"/>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7"/>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7"/>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7"/>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7"/>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7"/>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7"/>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7"/>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7"/>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7"/>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7"/>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7"/>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7"/>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7"/>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7"/>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7"/>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7"/>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7"/>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7"/>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7"/>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7"/>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7"/>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7"/>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7"/>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7"/>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7"/>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7"/>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7"/>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7"/>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7"/>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7"/>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7"/>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7"/>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7"/>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7"/>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7"/>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7"/>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7"/>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7"/>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7"/>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7"/>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7"/>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7"/>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7"/>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7"/>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7"/>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7"/>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7"/>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7"/>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7"/>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7"/>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7"/>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7"/>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7"/>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7"/>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7"/>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7"/>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7"/>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7"/>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7"/>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7"/>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7"/>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7"/>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7"/>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7"/>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7"/>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7"/>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7"/>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7"/>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7"/>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7"/>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7"/>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7"/>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7"/>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7"/>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7"/>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7"/>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7"/>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7"/>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7"/>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7"/>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7"/>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7"/>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7"/>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7"/>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7"/>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7"/>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7"/>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7"/>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7"/>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7"/>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7"/>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7"/>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7"/>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7"/>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7"/>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7"/>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7"/>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7"/>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7"/>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7"/>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7"/>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7"/>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7"/>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7"/>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7"/>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7"/>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7"/>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7"/>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7"/>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7"/>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7"/>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7"/>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7"/>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7"/>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7"/>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7"/>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7"/>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7"/>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7"/>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7"/>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7"/>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7"/>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7"/>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7"/>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7"/>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7"/>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7"/>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7"/>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7"/>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7"/>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7"/>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7"/>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7"/>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7"/>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7"/>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7"/>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7"/>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7"/>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7"/>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7"/>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7"/>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7"/>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7"/>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7"/>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7"/>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7"/>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7"/>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7"/>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7"/>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7"/>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7"/>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7"/>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7"/>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7"/>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7"/>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7"/>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7"/>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7"/>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7"/>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7"/>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7"/>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7"/>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7"/>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7"/>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7"/>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7"/>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7"/>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7"/>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7"/>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7"/>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7"/>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7"/>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7"/>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7"/>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7"/>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7"/>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7"/>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7"/>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7"/>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7"/>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7"/>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7"/>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7"/>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7"/>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7"/>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7"/>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7"/>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7"/>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7"/>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7"/>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7"/>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7"/>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7"/>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7"/>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7"/>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7"/>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7"/>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7"/>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7"/>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7"/>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7"/>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7"/>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7"/>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7"/>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7"/>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7"/>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7"/>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7"/>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7"/>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7"/>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7"/>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7"/>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7"/>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7"/>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7"/>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7"/>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7"/>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7"/>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7"/>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7"/>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7"/>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7"/>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7"/>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7"/>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7"/>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7"/>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7"/>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7"/>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7"/>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7"/>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7"/>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7"/>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7"/>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7"/>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7"/>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7"/>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7"/>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7"/>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7"/>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7"/>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7"/>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7"/>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7"/>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7"/>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7"/>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7"/>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7"/>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7"/>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7"/>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7"/>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7"/>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7"/>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7"/>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7"/>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7"/>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7"/>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7"/>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7"/>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7"/>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7"/>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7"/>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7"/>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7"/>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7"/>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7"/>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7"/>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7"/>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7"/>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7"/>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7"/>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7"/>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7"/>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7"/>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7"/>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7"/>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7"/>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7"/>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7"/>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7"/>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7"/>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7"/>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7"/>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7"/>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7"/>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7"/>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7"/>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7"/>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7"/>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7"/>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7"/>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7"/>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7"/>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7"/>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7"/>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7"/>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7"/>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7"/>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7"/>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7"/>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7"/>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7"/>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7"/>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7"/>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7"/>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7"/>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7"/>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7"/>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7"/>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7"/>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7"/>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7"/>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7"/>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7"/>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7"/>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7"/>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7"/>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7"/>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7"/>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7"/>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7"/>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7"/>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7"/>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7"/>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7"/>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7"/>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7"/>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7"/>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7"/>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7"/>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7"/>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7"/>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7"/>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7"/>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7"/>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7"/>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7"/>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7"/>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7"/>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7"/>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7"/>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7"/>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7"/>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7"/>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7"/>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7"/>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7"/>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7"/>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7"/>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7"/>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7"/>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7"/>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7"/>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7"/>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7"/>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7"/>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7"/>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7"/>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7"/>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7"/>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7"/>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7"/>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7"/>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7"/>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7"/>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7"/>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7"/>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7"/>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7"/>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7"/>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7"/>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7"/>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7"/>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7"/>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7"/>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7"/>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7"/>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7"/>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7"/>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7"/>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7"/>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7"/>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7"/>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7"/>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7"/>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7"/>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7"/>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7"/>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7"/>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7"/>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7"/>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7"/>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7"/>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7"/>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7"/>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7"/>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7"/>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7"/>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7"/>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7"/>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7"/>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7"/>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7"/>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7"/>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7"/>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7"/>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7"/>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7"/>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7"/>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7"/>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7"/>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7"/>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7"/>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7"/>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7"/>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7"/>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7"/>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7"/>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7"/>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7"/>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7"/>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7"/>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7"/>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7"/>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7"/>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7"/>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7"/>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7"/>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7"/>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7"/>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7"/>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7"/>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7"/>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7"/>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7"/>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7"/>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7"/>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7"/>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7"/>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7"/>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7"/>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7"/>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7"/>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7"/>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7"/>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7"/>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7"/>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7"/>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7"/>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7"/>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7"/>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7"/>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7"/>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7"/>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7"/>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7"/>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7"/>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7"/>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7"/>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7"/>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7"/>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7"/>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7"/>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7"/>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7"/>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7"/>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7"/>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7"/>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7"/>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7"/>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7"/>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7"/>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7"/>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7"/>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7"/>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7"/>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7"/>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7"/>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7"/>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7"/>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7"/>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7"/>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7"/>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7"/>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7"/>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7"/>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7"/>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7"/>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7"/>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7"/>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7"/>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7"/>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7"/>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7"/>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7"/>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7"/>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7"/>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7"/>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7"/>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7"/>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7"/>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7"/>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7"/>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7"/>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7"/>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7"/>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7"/>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7"/>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7"/>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7"/>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7"/>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7"/>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7"/>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7"/>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7"/>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7"/>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7"/>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7"/>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7"/>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7"/>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7"/>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7"/>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7"/>
      <c r="S1000" s="5"/>
      <c r="T1000" s="5"/>
      <c r="U1000" s="5"/>
      <c r="V1000" s="5"/>
      <c r="W1000" s="5"/>
      <c r="X1000" s="5"/>
      <c r="Y1000" s="5"/>
      <c r="Z1000" s="5"/>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15.14"/>
    <col customWidth="1" min="3" max="4" width="17.29"/>
    <col customWidth="1" min="5" max="6" width="21.0"/>
    <col customWidth="1" min="7" max="7" width="11.29"/>
    <col customWidth="1" min="8" max="10" width="9.14"/>
    <col customWidth="1" min="11" max="26" width="8.71"/>
  </cols>
  <sheetData>
    <row r="1">
      <c r="A1" s="2" t="s">
        <v>1949</v>
      </c>
      <c r="B1" s="2" t="s">
        <v>1950</v>
      </c>
      <c r="C1" s="2" t="s">
        <v>712</v>
      </c>
      <c r="D1" s="2" t="s">
        <v>1951</v>
      </c>
      <c r="E1" s="2" t="s">
        <v>1952</v>
      </c>
      <c r="F1" s="2" t="s">
        <v>1953</v>
      </c>
      <c r="G1" s="2" t="s">
        <v>751</v>
      </c>
      <c r="H1" s="2" t="s">
        <v>124</v>
      </c>
      <c r="I1" s="2" t="s">
        <v>1955</v>
      </c>
      <c r="J1" s="2" t="s">
        <v>1956</v>
      </c>
      <c r="K1" s="2"/>
      <c r="L1" s="2"/>
      <c r="M1" s="2"/>
      <c r="N1" s="2"/>
      <c r="O1" s="2"/>
      <c r="P1" s="2"/>
      <c r="Q1" s="2"/>
      <c r="R1" s="2"/>
      <c r="S1" s="2"/>
      <c r="T1" s="2"/>
      <c r="U1" s="2"/>
      <c r="V1" s="2"/>
      <c r="W1" s="2"/>
      <c r="X1" s="2"/>
      <c r="Y1" s="2"/>
      <c r="Z1" s="2"/>
    </row>
    <row r="2">
      <c r="A2" s="5" t="s">
        <v>1958</v>
      </c>
      <c r="B2" s="5">
        <v>1.0</v>
      </c>
      <c r="C2" s="5" t="s">
        <v>170</v>
      </c>
      <c r="D2" s="10">
        <v>362.0</v>
      </c>
      <c r="E2" s="5">
        <v>241.0</v>
      </c>
      <c r="F2" s="11">
        <f t="shared" ref="F2:F17" si="1">E2/1242</f>
        <v>0.194041868</v>
      </c>
      <c r="G2" s="7">
        <f t="shared" ref="G2:G17" si="2">D2/1440</f>
        <v>0.2513888889</v>
      </c>
      <c r="H2" s="5">
        <v>9.8</v>
      </c>
      <c r="I2" s="5">
        <v>915.0</v>
      </c>
      <c r="J2" s="5">
        <v>130.0</v>
      </c>
      <c r="K2" s="5"/>
      <c r="L2" s="5"/>
      <c r="M2" s="5"/>
      <c r="N2" s="5"/>
      <c r="O2" s="5"/>
      <c r="P2" s="5"/>
      <c r="Q2" s="5"/>
      <c r="R2" s="5"/>
      <c r="S2" s="5"/>
      <c r="T2" s="5"/>
      <c r="U2" s="5"/>
      <c r="V2" s="5"/>
      <c r="W2" s="5"/>
      <c r="X2" s="5"/>
      <c r="Y2" s="5"/>
      <c r="Z2" s="5"/>
    </row>
    <row r="3">
      <c r="A3" s="5" t="s">
        <v>1958</v>
      </c>
      <c r="B3" s="5">
        <v>2.0</v>
      </c>
      <c r="C3" s="5" t="s">
        <v>45</v>
      </c>
      <c r="D3" s="10">
        <v>318.0</v>
      </c>
      <c r="E3" s="5">
        <v>350.0</v>
      </c>
      <c r="F3" s="11">
        <f t="shared" si="1"/>
        <v>0.2818035427</v>
      </c>
      <c r="G3" s="7">
        <f t="shared" si="2"/>
        <v>0.2208333333</v>
      </c>
      <c r="H3" s="5">
        <v>5.85</v>
      </c>
      <c r="I3" s="5">
        <v>572.0</v>
      </c>
      <c r="J3" s="5">
        <v>704.0</v>
      </c>
      <c r="K3" s="5"/>
      <c r="L3" s="5"/>
      <c r="M3" s="5"/>
      <c r="N3" s="5"/>
      <c r="O3" s="5"/>
      <c r="P3" s="5"/>
      <c r="Q3" s="5"/>
      <c r="R3" s="5"/>
      <c r="S3" s="5"/>
      <c r="T3" s="5"/>
      <c r="U3" s="5"/>
      <c r="V3" s="5"/>
      <c r="W3" s="5"/>
      <c r="X3" s="5"/>
      <c r="Y3" s="5"/>
      <c r="Z3" s="5"/>
    </row>
    <row r="4">
      <c r="A4" s="5" t="s">
        <v>1958</v>
      </c>
      <c r="B4" s="5">
        <v>3.0</v>
      </c>
      <c r="C4" s="5" t="s">
        <v>88</v>
      </c>
      <c r="D4" s="10">
        <v>469.0</v>
      </c>
      <c r="E4" s="5">
        <v>373.0</v>
      </c>
      <c r="F4" s="11">
        <f t="shared" si="1"/>
        <v>0.3003220612</v>
      </c>
      <c r="G4" s="7">
        <f t="shared" si="2"/>
        <v>0.3256944444</v>
      </c>
      <c r="H4" s="5">
        <v>9.1</v>
      </c>
      <c r="I4" s="5">
        <v>861.0</v>
      </c>
      <c r="J4" s="5">
        <v>705.0</v>
      </c>
      <c r="K4" s="5"/>
      <c r="L4" s="5"/>
      <c r="M4" s="5"/>
      <c r="N4" s="5"/>
      <c r="O4" s="5"/>
      <c r="P4" s="5"/>
      <c r="Q4" s="5"/>
      <c r="R4" s="5"/>
      <c r="S4" s="5"/>
      <c r="T4" s="5"/>
      <c r="U4" s="5"/>
      <c r="V4" s="5"/>
      <c r="W4" s="5"/>
      <c r="X4" s="5"/>
      <c r="Y4" s="5"/>
      <c r="Z4" s="5"/>
    </row>
    <row r="5">
      <c r="A5" s="5" t="s">
        <v>1958</v>
      </c>
      <c r="B5" s="5">
        <v>4.0</v>
      </c>
      <c r="C5" s="5" t="s">
        <v>163</v>
      </c>
      <c r="D5" s="10">
        <v>316.0</v>
      </c>
      <c r="E5" s="5">
        <v>278.0</v>
      </c>
      <c r="F5" s="11">
        <f t="shared" si="1"/>
        <v>0.2238325282</v>
      </c>
      <c r="G5" s="7">
        <f t="shared" si="2"/>
        <v>0.2194444444</v>
      </c>
      <c r="H5" s="5">
        <v>7.3</v>
      </c>
      <c r="I5" s="5">
        <v>440.0</v>
      </c>
      <c r="J5" s="5">
        <v>663.0</v>
      </c>
      <c r="K5" s="5"/>
      <c r="L5" s="5"/>
      <c r="M5" s="5"/>
      <c r="N5" s="5"/>
      <c r="O5" s="5"/>
      <c r="P5" s="5"/>
      <c r="Q5" s="5"/>
      <c r="R5" s="5"/>
      <c r="S5" s="5"/>
      <c r="T5" s="5"/>
      <c r="U5" s="5"/>
      <c r="V5" s="5"/>
      <c r="W5" s="5"/>
      <c r="X5" s="5"/>
      <c r="Y5" s="5"/>
      <c r="Z5" s="5"/>
    </row>
    <row r="6">
      <c r="A6" s="5" t="s">
        <v>1958</v>
      </c>
      <c r="B6" s="5">
        <v>5.0</v>
      </c>
      <c r="C6" s="5" t="s">
        <v>1218</v>
      </c>
      <c r="D6" s="10">
        <v>213.0</v>
      </c>
      <c r="E6" s="5">
        <v>0.0</v>
      </c>
      <c r="F6" s="11">
        <f t="shared" si="1"/>
        <v>0</v>
      </c>
      <c r="G6" s="7">
        <f t="shared" si="2"/>
        <v>0.1479166667</v>
      </c>
      <c r="H6" s="5">
        <v>7.3</v>
      </c>
      <c r="I6" s="5">
        <v>128.0</v>
      </c>
      <c r="J6" s="5">
        <v>661.0</v>
      </c>
      <c r="K6" s="5"/>
      <c r="L6" s="5"/>
      <c r="M6" s="5"/>
      <c r="N6" s="5"/>
      <c r="O6" s="5"/>
      <c r="P6" s="5"/>
      <c r="Q6" s="5"/>
      <c r="R6" s="5"/>
      <c r="S6" s="5"/>
      <c r="T6" s="5"/>
      <c r="U6" s="5"/>
      <c r="V6" s="5"/>
      <c r="W6" s="5"/>
      <c r="X6" s="5"/>
      <c r="Y6" s="5"/>
      <c r="Z6" s="5"/>
    </row>
    <row r="7">
      <c r="A7" s="5" t="s">
        <v>1976</v>
      </c>
      <c r="B7" s="5">
        <v>1.0</v>
      </c>
      <c r="C7" s="5" t="s">
        <v>45</v>
      </c>
      <c r="D7" s="10">
        <v>680.0</v>
      </c>
      <c r="E7" s="5">
        <v>591.0</v>
      </c>
      <c r="F7" s="11">
        <f t="shared" si="1"/>
        <v>0.4758454106</v>
      </c>
      <c r="G7" s="7">
        <f t="shared" si="2"/>
        <v>0.4722222222</v>
      </c>
      <c r="H7" s="5">
        <v>15.65</v>
      </c>
      <c r="I7" s="5">
        <v>1487.0</v>
      </c>
      <c r="J7" s="5">
        <v>834.0</v>
      </c>
      <c r="K7" s="5"/>
      <c r="L7" s="5"/>
      <c r="M7" s="5"/>
      <c r="N7" s="5"/>
      <c r="O7" s="5"/>
      <c r="P7" s="5"/>
      <c r="Q7" s="5"/>
      <c r="R7" s="5"/>
      <c r="S7" s="5"/>
      <c r="T7" s="5"/>
      <c r="U7" s="5"/>
      <c r="V7" s="5"/>
      <c r="W7" s="5"/>
      <c r="X7" s="5"/>
      <c r="Y7" s="5"/>
      <c r="Z7" s="5"/>
    </row>
    <row r="8">
      <c r="A8" s="5" t="s">
        <v>1976</v>
      </c>
      <c r="B8" s="5">
        <v>2.0</v>
      </c>
      <c r="C8" s="5" t="s">
        <v>88</v>
      </c>
      <c r="D8" s="10">
        <v>469.0</v>
      </c>
      <c r="E8" s="5">
        <v>373.0</v>
      </c>
      <c r="F8" s="11">
        <f t="shared" si="1"/>
        <v>0.3003220612</v>
      </c>
      <c r="G8" s="7">
        <f t="shared" si="2"/>
        <v>0.3256944444</v>
      </c>
      <c r="H8" s="5">
        <v>9.1</v>
      </c>
      <c r="I8" s="5">
        <v>861.0</v>
      </c>
      <c r="J8" s="5">
        <v>705.0</v>
      </c>
      <c r="K8" s="5"/>
      <c r="L8" s="5"/>
      <c r="M8" s="5"/>
      <c r="N8" s="5"/>
      <c r="O8" s="5"/>
      <c r="P8" s="5"/>
      <c r="Q8" s="5"/>
      <c r="R8" s="5"/>
      <c r="S8" s="5"/>
      <c r="T8" s="5"/>
      <c r="U8" s="5"/>
      <c r="V8" s="5"/>
      <c r="W8" s="5"/>
      <c r="X8" s="5"/>
      <c r="Y8" s="5"/>
      <c r="Z8" s="5"/>
    </row>
    <row r="9">
      <c r="A9" s="5" t="s">
        <v>1976</v>
      </c>
      <c r="B9" s="5">
        <v>3.0</v>
      </c>
      <c r="C9" s="5" t="s">
        <v>163</v>
      </c>
      <c r="D9" s="10">
        <v>316.0</v>
      </c>
      <c r="E9" s="5">
        <v>278.0</v>
      </c>
      <c r="F9" s="11">
        <f t="shared" si="1"/>
        <v>0.2238325282</v>
      </c>
      <c r="G9" s="7">
        <f t="shared" si="2"/>
        <v>0.2194444444</v>
      </c>
      <c r="H9" s="5">
        <v>7.3</v>
      </c>
      <c r="I9" s="5">
        <v>440.0</v>
      </c>
      <c r="J9" s="5">
        <v>663.0</v>
      </c>
      <c r="K9" s="5"/>
      <c r="L9" s="5"/>
      <c r="M9" s="5"/>
      <c r="N9" s="5"/>
      <c r="O9" s="5"/>
      <c r="P9" s="5"/>
      <c r="Q9" s="5"/>
      <c r="R9" s="5"/>
      <c r="S9" s="5"/>
      <c r="T9" s="5"/>
      <c r="U9" s="5"/>
      <c r="V9" s="5"/>
      <c r="W9" s="5"/>
      <c r="X9" s="5"/>
      <c r="Y9" s="5"/>
      <c r="Z9" s="5"/>
    </row>
    <row r="10">
      <c r="A10" s="5" t="s">
        <v>1976</v>
      </c>
      <c r="B10" s="5">
        <v>4.0</v>
      </c>
      <c r="C10" s="5" t="s">
        <v>1218</v>
      </c>
      <c r="D10" s="10">
        <v>213.0</v>
      </c>
      <c r="E10" s="5">
        <v>0.0</v>
      </c>
      <c r="F10" s="11">
        <f t="shared" si="1"/>
        <v>0</v>
      </c>
      <c r="G10" s="7">
        <f t="shared" si="2"/>
        <v>0.1479166667</v>
      </c>
      <c r="H10" s="5">
        <v>7.3</v>
      </c>
      <c r="I10" s="5">
        <v>128.0</v>
      </c>
      <c r="J10" s="5">
        <v>661.0</v>
      </c>
      <c r="K10" s="5"/>
      <c r="L10" s="5"/>
      <c r="M10" s="5"/>
      <c r="N10" s="5"/>
      <c r="O10" s="5"/>
      <c r="P10" s="5"/>
      <c r="Q10" s="5"/>
      <c r="R10" s="5"/>
      <c r="S10" s="5"/>
      <c r="T10" s="5"/>
      <c r="U10" s="5"/>
      <c r="V10" s="5"/>
      <c r="W10" s="5"/>
      <c r="X10" s="5"/>
      <c r="Y10" s="5"/>
      <c r="Z10" s="5"/>
    </row>
    <row r="11">
      <c r="A11" s="5" t="s">
        <v>1983</v>
      </c>
      <c r="B11" s="5">
        <v>1.0</v>
      </c>
      <c r="C11" s="5" t="s">
        <v>45</v>
      </c>
      <c r="D11" s="10">
        <v>680.0</v>
      </c>
      <c r="E11" s="5">
        <v>591.0</v>
      </c>
      <c r="F11" s="11">
        <f t="shared" si="1"/>
        <v>0.4758454106</v>
      </c>
      <c r="G11" s="7">
        <f t="shared" si="2"/>
        <v>0.4722222222</v>
      </c>
      <c r="H11" s="5">
        <v>15.65</v>
      </c>
      <c r="I11" s="5">
        <v>1487.0</v>
      </c>
      <c r="J11" s="5">
        <v>834.0</v>
      </c>
      <c r="K11" s="5"/>
      <c r="L11" s="5"/>
      <c r="M11" s="5"/>
      <c r="N11" s="5"/>
      <c r="O11" s="5"/>
      <c r="P11" s="5"/>
      <c r="Q11" s="5"/>
      <c r="R11" s="5"/>
      <c r="S11" s="5"/>
      <c r="T11" s="5"/>
      <c r="U11" s="5"/>
      <c r="V11" s="5"/>
      <c r="W11" s="5"/>
      <c r="X11" s="5"/>
      <c r="Y11" s="5"/>
      <c r="Z11" s="5"/>
    </row>
    <row r="12">
      <c r="A12" s="5" t="s">
        <v>1983</v>
      </c>
      <c r="B12" s="5">
        <v>2.0</v>
      </c>
      <c r="C12" s="5" t="s">
        <v>88</v>
      </c>
      <c r="D12" s="10">
        <v>469.0</v>
      </c>
      <c r="E12" s="5">
        <v>651.0</v>
      </c>
      <c r="F12" s="11">
        <f t="shared" si="1"/>
        <v>0.5241545894</v>
      </c>
      <c r="G12" s="7">
        <f t="shared" si="2"/>
        <v>0.3256944444</v>
      </c>
      <c r="H12" s="5">
        <v>9.1</v>
      </c>
      <c r="I12" s="5">
        <v>861.0</v>
      </c>
      <c r="J12" s="5">
        <v>705.0</v>
      </c>
      <c r="K12" s="5"/>
      <c r="L12" s="5"/>
      <c r="M12" s="5"/>
      <c r="N12" s="5"/>
      <c r="O12" s="5"/>
      <c r="P12" s="5"/>
      <c r="Q12" s="5"/>
      <c r="R12" s="5"/>
      <c r="S12" s="5"/>
      <c r="T12" s="5"/>
      <c r="U12" s="5"/>
      <c r="V12" s="5"/>
      <c r="W12" s="5"/>
      <c r="X12" s="5"/>
      <c r="Y12" s="5"/>
      <c r="Z12" s="5"/>
    </row>
    <row r="13">
      <c r="A13" s="5" t="s">
        <v>1983</v>
      </c>
      <c r="B13" s="5">
        <v>3.0</v>
      </c>
      <c r="C13" s="5" t="s">
        <v>1218</v>
      </c>
      <c r="D13" s="10">
        <v>529.0</v>
      </c>
      <c r="E13" s="5">
        <v>0.0</v>
      </c>
      <c r="F13" s="11">
        <f t="shared" si="1"/>
        <v>0</v>
      </c>
      <c r="G13" s="7">
        <f t="shared" si="2"/>
        <v>0.3673611111</v>
      </c>
      <c r="H13" s="5">
        <v>14.67</v>
      </c>
      <c r="I13" s="5">
        <v>567.0</v>
      </c>
      <c r="J13" s="5">
        <v>1324.0</v>
      </c>
      <c r="K13" s="5"/>
      <c r="L13" s="5"/>
      <c r="M13" s="5"/>
      <c r="N13" s="5"/>
      <c r="O13" s="5"/>
      <c r="P13" s="5"/>
      <c r="Q13" s="5"/>
      <c r="R13" s="5"/>
      <c r="S13" s="5"/>
      <c r="T13" s="5"/>
      <c r="U13" s="5"/>
      <c r="V13" s="5"/>
      <c r="W13" s="5"/>
      <c r="X13" s="5"/>
      <c r="Y13" s="5"/>
      <c r="Z13" s="5"/>
    </row>
    <row r="14">
      <c r="A14" s="5" t="s">
        <v>1988</v>
      </c>
      <c r="B14" s="5">
        <v>1.0</v>
      </c>
      <c r="C14" s="5" t="s">
        <v>170</v>
      </c>
      <c r="D14" s="10">
        <v>362.0</v>
      </c>
      <c r="E14" s="5">
        <v>241.0</v>
      </c>
      <c r="F14" s="11">
        <f t="shared" si="1"/>
        <v>0.194041868</v>
      </c>
      <c r="G14" s="7">
        <f t="shared" si="2"/>
        <v>0.2513888889</v>
      </c>
      <c r="H14" s="5">
        <v>9.8</v>
      </c>
      <c r="I14" s="5">
        <v>915.0</v>
      </c>
      <c r="J14" s="5">
        <v>130.0</v>
      </c>
      <c r="K14" s="5"/>
      <c r="L14" s="5"/>
      <c r="M14" s="5"/>
      <c r="N14" s="5"/>
      <c r="O14" s="5"/>
      <c r="P14" s="5"/>
      <c r="Q14" s="5"/>
      <c r="R14" s="5"/>
      <c r="S14" s="5"/>
      <c r="T14" s="5"/>
      <c r="U14" s="5"/>
      <c r="V14" s="5"/>
      <c r="W14" s="5"/>
      <c r="X14" s="5"/>
      <c r="Y14" s="5"/>
      <c r="Z14" s="5"/>
    </row>
    <row r="15">
      <c r="A15" s="5" t="s">
        <v>1988</v>
      </c>
      <c r="B15" s="5">
        <v>2.0</v>
      </c>
      <c r="C15" s="5" t="s">
        <v>45</v>
      </c>
      <c r="D15" s="10">
        <v>318.0</v>
      </c>
      <c r="E15" s="5">
        <v>350.0</v>
      </c>
      <c r="F15" s="11">
        <f t="shared" si="1"/>
        <v>0.2818035427</v>
      </c>
      <c r="G15" s="7">
        <f t="shared" si="2"/>
        <v>0.2208333333</v>
      </c>
      <c r="H15" s="5">
        <v>5.85</v>
      </c>
      <c r="I15" s="5">
        <v>572.0</v>
      </c>
      <c r="J15" s="5">
        <v>704.0</v>
      </c>
      <c r="K15" s="5"/>
      <c r="L15" s="5"/>
      <c r="M15" s="5"/>
      <c r="N15" s="5"/>
      <c r="O15" s="5"/>
      <c r="P15" s="5"/>
      <c r="Q15" s="5"/>
      <c r="R15" s="5"/>
      <c r="S15" s="5"/>
      <c r="T15" s="5"/>
      <c r="U15" s="5"/>
      <c r="V15" s="5"/>
      <c r="W15" s="5"/>
      <c r="X15" s="5"/>
      <c r="Y15" s="5"/>
      <c r="Z15" s="5"/>
    </row>
    <row r="16">
      <c r="A16" s="5" t="s">
        <v>1988</v>
      </c>
      <c r="B16" s="5">
        <v>3.0</v>
      </c>
      <c r="C16" s="5" t="s">
        <v>88</v>
      </c>
      <c r="D16" s="10">
        <v>469.0</v>
      </c>
      <c r="E16" s="5">
        <v>651.0</v>
      </c>
      <c r="F16" s="11">
        <f t="shared" si="1"/>
        <v>0.5241545894</v>
      </c>
      <c r="G16" s="7">
        <f t="shared" si="2"/>
        <v>0.3256944444</v>
      </c>
      <c r="H16" s="5">
        <v>9.1</v>
      </c>
      <c r="I16" s="5">
        <v>861.0</v>
      </c>
      <c r="J16" s="5">
        <v>705.0</v>
      </c>
      <c r="K16" s="5"/>
      <c r="L16" s="5"/>
      <c r="M16" s="5"/>
      <c r="N16" s="5"/>
      <c r="O16" s="5"/>
      <c r="P16" s="5"/>
      <c r="Q16" s="5"/>
      <c r="R16" s="5"/>
      <c r="S16" s="5"/>
      <c r="T16" s="5"/>
      <c r="U16" s="5"/>
      <c r="V16" s="5"/>
      <c r="W16" s="5"/>
      <c r="X16" s="5"/>
      <c r="Y16" s="5"/>
      <c r="Z16" s="5"/>
    </row>
    <row r="17">
      <c r="A17" s="5" t="s">
        <v>1988</v>
      </c>
      <c r="B17" s="5">
        <v>4.0</v>
      </c>
      <c r="C17" s="5" t="s">
        <v>1218</v>
      </c>
      <c r="D17" s="10">
        <v>529.0</v>
      </c>
      <c r="E17" s="5">
        <v>0.0</v>
      </c>
      <c r="F17" s="11">
        <f t="shared" si="1"/>
        <v>0</v>
      </c>
      <c r="G17" s="7">
        <f t="shared" si="2"/>
        <v>0.3673611111</v>
      </c>
      <c r="H17" s="5">
        <v>14.67</v>
      </c>
      <c r="I17" s="5">
        <v>567.0</v>
      </c>
      <c r="J17" s="5">
        <v>1324.0</v>
      </c>
      <c r="K17" s="5"/>
      <c r="L17" s="5"/>
      <c r="M17" s="5"/>
      <c r="N17" s="5"/>
      <c r="O17" s="5"/>
      <c r="P17" s="5"/>
      <c r="Q17" s="5"/>
      <c r="R17" s="5"/>
      <c r="S17" s="5"/>
      <c r="T17" s="5"/>
      <c r="U17" s="5"/>
      <c r="V17" s="5"/>
      <c r="W17" s="5"/>
      <c r="X17" s="5"/>
      <c r="Y17" s="5"/>
      <c r="Z17" s="5"/>
    </row>
    <row r="18">
      <c r="A18" s="2"/>
      <c r="B18" s="2"/>
      <c r="C18" s="6"/>
      <c r="D18" s="2"/>
      <c r="E18" s="2"/>
      <c r="F18" s="2"/>
      <c r="G18" s="2"/>
      <c r="H18" s="2"/>
      <c r="I18" s="2"/>
      <c r="J18" s="2"/>
      <c r="K18" s="2"/>
      <c r="L18" s="2"/>
      <c r="M18" s="2"/>
      <c r="N18" s="2"/>
      <c r="O18" s="2"/>
      <c r="P18" s="2"/>
      <c r="Q18" s="2"/>
      <c r="R18" s="2"/>
      <c r="S18" s="2"/>
      <c r="T18" s="2"/>
      <c r="U18" s="2"/>
      <c r="V18" s="2"/>
      <c r="W18" s="2"/>
      <c r="X18" s="2"/>
      <c r="Y18" s="2"/>
      <c r="Z18" s="2"/>
    </row>
    <row r="19">
      <c r="A19" s="2"/>
      <c r="B19" s="2"/>
      <c r="C19" s="6"/>
      <c r="D19" s="2"/>
      <c r="E19" s="2"/>
      <c r="F19" s="2"/>
      <c r="G19" s="2"/>
      <c r="H19" s="2"/>
      <c r="I19" s="2"/>
      <c r="J19" s="2"/>
      <c r="K19" s="2"/>
      <c r="L19" s="2"/>
      <c r="M19" s="2"/>
      <c r="N19" s="2"/>
      <c r="O19" s="2"/>
      <c r="P19" s="2"/>
      <c r="Q19" s="2"/>
      <c r="R19" s="2"/>
      <c r="S19" s="2"/>
      <c r="T19" s="2"/>
      <c r="U19" s="2"/>
      <c r="V19" s="2"/>
      <c r="W19" s="2"/>
      <c r="X19" s="2"/>
      <c r="Y19" s="2"/>
      <c r="Z19" s="2"/>
    </row>
    <row r="20">
      <c r="A20" s="2"/>
      <c r="B20" s="2"/>
      <c r="C20" s="6"/>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6"/>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6"/>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6"/>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6"/>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6"/>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6"/>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6"/>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6"/>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6"/>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6"/>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6"/>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6"/>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6"/>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6"/>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6"/>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6"/>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6"/>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6"/>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6"/>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6"/>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2026-09-14T15:11:10Z</dcterms:created>
  <dc:creator>alondra crego</dc:creator>
</cp:coreProperties>
</file>